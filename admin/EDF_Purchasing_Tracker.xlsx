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peed\Projects\edf-testbed\admin\"/>
    </mc:Choice>
  </mc:AlternateContent>
  <xr:revisionPtr revIDLastSave="0" documentId="13_ncr:1_{EBAFEB25-3473-4A87-BC33-F2CB2AE34472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README" sheetId="1" r:id="rId1"/>
    <sheet name="Items" sheetId="2" r:id="rId2"/>
    <sheet name="By Group" sheetId="3" r:id="rId3"/>
  </sheets>
  <definedNames>
    <definedName name="_xlnm._FilterDatabase" localSheetId="1" hidden="1">Items!$A$1:$K$54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0" i="2" l="1"/>
  <c r="D7" i="3" s="1"/>
  <c r="F27" i="2"/>
  <c r="G27" i="2" s="1"/>
  <c r="G44" i="2"/>
  <c r="G45" i="2"/>
  <c r="G46" i="2"/>
  <c r="G47" i="2"/>
  <c r="G48" i="2"/>
  <c r="G49" i="2"/>
  <c r="G51" i="2"/>
  <c r="G52" i="2"/>
  <c r="G53" i="2"/>
  <c r="G54" i="2"/>
  <c r="F3" i="2"/>
  <c r="G3" i="2" s="1"/>
  <c r="F4" i="2"/>
  <c r="G4" i="2" s="1"/>
  <c r="G5" i="2"/>
  <c r="G6" i="2"/>
  <c r="G7" i="2"/>
  <c r="E8" i="3"/>
  <c r="C8" i="3"/>
  <c r="B8" i="3"/>
  <c r="E7" i="3"/>
  <c r="C7" i="3"/>
  <c r="B7" i="3"/>
  <c r="E6" i="3"/>
  <c r="C6" i="3"/>
  <c r="B6" i="3"/>
  <c r="E5" i="3"/>
  <c r="C5" i="3"/>
  <c r="B5" i="3"/>
  <c r="E4" i="3"/>
  <c r="C4" i="3"/>
  <c r="B4" i="3"/>
  <c r="E3" i="3"/>
  <c r="C3" i="3"/>
  <c r="B3" i="3"/>
  <c r="E2" i="3"/>
  <c r="C2" i="3"/>
  <c r="B2" i="3"/>
  <c r="D59" i="2"/>
  <c r="D58" i="2"/>
  <c r="D57" i="2"/>
  <c r="G43" i="2"/>
  <c r="G42" i="2"/>
  <c r="G41" i="2"/>
  <c r="G40" i="2"/>
  <c r="G39" i="2"/>
  <c r="G38" i="2"/>
  <c r="G37" i="2"/>
  <c r="G36" i="2"/>
  <c r="G35" i="2"/>
  <c r="G34" i="2"/>
  <c r="G33" i="2"/>
  <c r="G32" i="2"/>
  <c r="D5" i="3" s="1"/>
  <c r="G31" i="2"/>
  <c r="G30" i="2"/>
  <c r="G29" i="2"/>
  <c r="G28" i="2"/>
  <c r="G26" i="2"/>
  <c r="G25" i="2"/>
  <c r="G24" i="2"/>
  <c r="G23" i="2"/>
  <c r="G22" i="2"/>
  <c r="G21" i="2"/>
  <c r="G20" i="2"/>
  <c r="G19" i="2"/>
  <c r="G18" i="2"/>
  <c r="G17" i="2"/>
  <c r="D3" i="3" s="1"/>
  <c r="G16" i="2"/>
  <c r="G15" i="2"/>
  <c r="G14" i="2"/>
  <c r="G13" i="2"/>
  <c r="G12" i="2"/>
  <c r="G11" i="2"/>
  <c r="G10" i="2"/>
  <c r="G9" i="2"/>
  <c r="G8" i="2"/>
  <c r="G2" i="2"/>
  <c r="D8" i="3" l="1"/>
  <c r="D4" i="3"/>
  <c r="D6" i="3"/>
  <c r="B9" i="3"/>
  <c r="C9" i="3"/>
  <c r="D60" i="2"/>
  <c r="D62" i="2"/>
  <c r="D2" i="3"/>
  <c r="D61" i="2"/>
  <c r="E9" i="3"/>
  <c r="D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tc={759FF786-B073-4836-9D7F-2FE5D1623598}</author>
    <author>tc={14C3E630-9373-4591-B522-B2922E50FF8B}</author>
  </authors>
  <commentList>
    <comment ref="C5" authorId="0" shapeId="0" xr:uid="{759FF786-B073-4836-9D7F-2FE5D1623598}">
      <text>
        <t>[Threaded comment]
Your version of Excel allows you to read this threaded comment; however, any edits to it will get removed if the file is opened in a newer version of Excel. Learn more: https://go.microsoft.com/fwlink/?linkid=870924
Comment:
    MIGHT CHANGE FOR ALTERNATIVE</t>
      </text>
    </comment>
    <comment ref="C61" authorId="1" shapeId="0" xr:uid="{14C3E630-9373-4591-B522-B2922E50FF8B}">
      <text>
        <t>[Threaded comment]
Your version of Excel allows you to read this threaded comment; however, any edits to it will get removed if the file is opened in a newer version of Excel. Learn more: https://go.microsoft.com/fwlink/?linkid=870924
Comment:
    Amazon items tax not included</t>
      </text>
    </comment>
  </commentList>
</comments>
</file>

<file path=xl/sharedStrings.xml><?xml version="1.0" encoding="utf-8"?>
<sst xmlns="http://schemas.openxmlformats.org/spreadsheetml/2006/main" count="335" uniqueCount="218">
  <si>
    <t>Chin-Inlet EDF UAV Testbed - Purchasing Tracker</t>
  </si>
  <si>
    <t>HOW TO USE</t>
  </si>
  <si>
    <t>Fill in only the shaded yellow cells: Unit Price, Vendor, Order Date, Received.</t>
  </si>
  <si>
    <t>Line Total, and everything on the By Group tab, calculates itself.</t>
  </si>
  <si>
    <t>Set the Buy column to Yes once an item is ordered. The row turns green and</t>
  </si>
  <si>
    <t>the totals at the bottom of the Items tab update.</t>
  </si>
  <si>
    <t>Prices are deliberately left blank - fill in what you actually pay, including</t>
  </si>
  <si>
    <t>shipping and tax, so the totals reflect real spend rather than estimates.</t>
  </si>
  <si>
    <t>GROUPS</t>
  </si>
  <si>
    <t>A  - Test stand and instrumentation. Needed for Phase 1.</t>
  </si>
  <si>
    <t>A2 - Pressure rake hardware. DEFERRED to Phase 3, months out.</t>
  </si>
  <si>
    <t>B  - Propulsion. Needed for Phases 1-2.</t>
  </si>
  <si>
    <t>C  - Airframe electronics. Needed for Phase 5.</t>
  </si>
  <si>
    <t>D  - Materials and consumables. Phase 2 onward.</t>
  </si>
  <si>
    <t>E  - Phase 0 proficiency trainer. Needed FIRST.</t>
  </si>
  <si>
    <t>F  - 12S upgrade. Only after Phase 5 flight data.</t>
  </si>
  <si>
    <t>WAVE 1 - buy now</t>
  </si>
  <si>
    <t>Rows with a bold item name and a green Group cell are Wave 1.</t>
  </si>
  <si>
    <t>Filter the Group column to A - Test stand and E - Trainer to see them.</t>
  </si>
  <si>
    <t>Order the trainer today. Phase 0 needs 20 flights and decent weather, and</t>
  </si>
  <si>
    <t>Illinois winter is the real schedule constraint - not part lead times.</t>
  </si>
  <si>
    <t>Order the Schubeler fan early in Wave 2. European shipping runs several</t>
  </si>
  <si>
    <t>weeks and Phase 2 cannot start without it.</t>
  </si>
  <si>
    <t>CHECK BEFORE BUYING</t>
  </si>
  <si>
    <t>Soldering iron: borrow before buying.</t>
  </si>
  <si>
    <t>Solder, heat shrink, hookup wire, breadboard: try the ECE Supply Center or</t>
  </si>
  <si>
    <t>the JIS storeroom in the Sidney Lu basement before ordering online.</t>
  </si>
  <si>
    <t>Optical tachometer: check whether the Hobbywing Platinum V4 already gives</t>
  </si>
  <si>
    <t>RPM telemetry. If it does, skip it.</t>
  </si>
  <si>
    <t>Bench power supply: try batteries with watt logging first. If Phase 1 hits</t>
  </si>
  <si>
    <t>+/-2% repeatability without it, you never needed it.</t>
  </si>
  <si>
    <t>Group</t>
  </si>
  <si>
    <t>Item</t>
  </si>
  <si>
    <t>Specifics</t>
  </si>
  <si>
    <t>Qty</t>
  </si>
  <si>
    <t>Unit Price</t>
  </si>
  <si>
    <t>Line Total</t>
  </si>
  <si>
    <t>Vendor</t>
  </si>
  <si>
    <t>Order Date</t>
  </si>
  <si>
    <t>Received</t>
  </si>
  <si>
    <t>Notes</t>
  </si>
  <si>
    <t>No</t>
  </si>
  <si>
    <t>A - Test stand</t>
  </si>
  <si>
    <t>Load cell</t>
  </si>
  <si>
    <t>10 kg straight bar, 4-wire full bridge</t>
  </si>
  <si>
    <t>Usually sold bundled with HX711</t>
  </si>
  <si>
    <t>HX711 breakout</t>
  </si>
  <si>
    <t>24-bit ADC for load cell, run at 80 SPS</t>
  </si>
  <si>
    <t>Often included in the load cell kit</t>
  </si>
  <si>
    <t>Arduino Nano</t>
  </si>
  <si>
    <t>ATmega328P, USB-C or mini-B; clone is fine</t>
  </si>
  <si>
    <t>Second board is a spare</t>
  </si>
  <si>
    <t>INA226 module</t>
  </si>
  <si>
    <t>I2C current + voltage sensor, w/ shunt</t>
  </si>
  <si>
    <t>Logs electrical power</t>
  </si>
  <si>
    <t>Digital multimeter</t>
  </si>
  <si>
    <t>Own this one, don't borrow</t>
  </si>
  <si>
    <t>Calibration mass set</t>
  </si>
  <si>
    <t>100 g / 200 g / 500 g / 1 kg, +/-1% or better</t>
  </si>
  <si>
    <t>Accuracy floor for all thrust data</t>
  </si>
  <si>
    <t>Thermo-hygrometer</t>
  </si>
  <si>
    <t>Sits at the stand, not a phone app</t>
  </si>
  <si>
    <t>C-clamps</t>
  </si>
  <si>
    <t>4-6 inch throat</t>
  </si>
  <si>
    <t>Clamps baseplate to table</t>
  </si>
  <si>
    <t>Solder</t>
  </si>
  <si>
    <t>Rosin core, 0.8 mm, 60/40 or lead-free</t>
  </si>
  <si>
    <t>Try ECE Supply Center first</t>
  </si>
  <si>
    <t>Heat shrink assortment</t>
  </si>
  <si>
    <t>1-6 mm diameters</t>
  </si>
  <si>
    <t>Hookup wire</t>
  </si>
  <si>
    <t>22 AWG stranded, multiple colors</t>
  </si>
  <si>
    <t>Breadboard + jumper kit</t>
  </si>
  <si>
    <t>830-point board, M-M and M-F jumpers</t>
  </si>
  <si>
    <t>Prototype before soldering</t>
  </si>
  <si>
    <t>Plywood</t>
  </si>
  <si>
    <t>3/4 inch, approx 400 x 250 mm offcut</t>
  </si>
  <si>
    <t>Baseplate; stiffness matters</t>
  </si>
  <si>
    <t>Screws / standoffs / spacers</t>
  </si>
  <si>
    <t>M3 and M4 assortment, nylon + steel</t>
  </si>
  <si>
    <t>Spacers create the load cell air gap</t>
  </si>
  <si>
    <t>Soldering iron + station</t>
  </si>
  <si>
    <t>Temperature controlled, 60W</t>
  </si>
  <si>
    <t>BORROW FIRST - only buy if shop hours block you</t>
  </si>
  <si>
    <t>A2 - Rake (Phase 3)</t>
  </si>
  <si>
    <t>Sensirion SDP810-500Pa</t>
  </si>
  <si>
    <t>+/-500 Pa differential, I2C, sub-Pa resolution</t>
  </si>
  <si>
    <t>NOT MPXV7002DP - too coarse for 150-400 Pa signals</t>
  </si>
  <si>
    <t>Pneumatic solenoid valve</t>
  </si>
  <si>
    <t>3-way, 12 V, small port</t>
  </si>
  <si>
    <t>Multiplexes 8 tubes into 1 sensor</t>
  </si>
  <si>
    <t>MOSFET driver board</t>
  </si>
  <si>
    <t>ULN2803 array or logic-level discretes</t>
  </si>
  <si>
    <t>Arduino drives the solenoids</t>
  </si>
  <si>
    <t>Silicone tubing</t>
  </si>
  <si>
    <t>2 mm ID, 5 m</t>
  </si>
  <si>
    <t>Cut all runs to EQUAL length</t>
  </si>
  <si>
    <t>Hypodermic tubing</t>
  </si>
  <si>
    <t>19 gauge, 1 m, square-cut ends</t>
  </si>
  <si>
    <t>Rake probe tips</t>
  </si>
  <si>
    <t>Optical tachometer</t>
  </si>
  <si>
    <t>Non-contact, to 99,999 rpm</t>
  </si>
  <si>
    <t>SKIP if Hobbywing V4 gives RPM telemetry</t>
  </si>
  <si>
    <t>Bench power supply</t>
  </si>
  <si>
    <t>24 V, 30 A adjustable</t>
  </si>
  <si>
    <t>DEFERRED - try batteries + watt logging first</t>
  </si>
  <si>
    <t>B - Propulsion</t>
  </si>
  <si>
    <t>Schubeler DS-30-AXI HDS</t>
  </si>
  <si>
    <t>70 mm fan unit, HDS rotor, alloy stator</t>
  </si>
  <si>
    <t>Order early - EU shipping is the long pole</t>
  </si>
  <si>
    <t>Schubeler DSM inrunner motor</t>
  </si>
  <si>
    <t>6S rated - confirm Kv with vendor for DS-30</t>
  </si>
  <si>
    <t>Same housing takes a 12S motor later</t>
  </si>
  <si>
    <t>Hobbywing Platinum 120A V4</t>
  </si>
  <si>
    <t>6S ESC, 120 A continuous</t>
  </si>
  <si>
    <t>Mount in duct airflow</t>
  </si>
  <si>
    <t>LiPo pack</t>
  </si>
  <si>
    <t>Two in series = 12S later</t>
  </si>
  <si>
    <t>2C charging keeps test days moving</t>
  </si>
  <si>
    <t>Male + female pairs, main power</t>
  </si>
  <si>
    <t>XT90 rated 90 A</t>
  </si>
  <si>
    <t>Silicone wire</t>
  </si>
  <si>
    <t>10 AWG, 3 m, red and black</t>
  </si>
  <si>
    <t>Sized for 100 A continuous</t>
  </si>
  <si>
    <t>Low-ESR capacitors</t>
  </si>
  <si>
    <t>35 V, 470-1000 uF, on ESC leads</t>
  </si>
  <si>
    <t>Absorbs switching spikes from long leads</t>
  </si>
  <si>
    <t>C - Airframe</t>
  </si>
  <si>
    <t>Matek F405-WING</t>
  </si>
  <si>
    <t>ArduPlane capable FC, onboard flash logging</t>
  </si>
  <si>
    <t>Used in manual passthrough as a logger</t>
  </si>
  <si>
    <t>DLVR-L10D airspeed sensor</t>
  </si>
  <si>
    <t>Differential, low thermal drift, + pitot probe</t>
  </si>
  <si>
    <t>Preferred over MS4525DO</t>
  </si>
  <si>
    <t>GPS / compass module</t>
  </si>
  <si>
    <t>M8N or newer</t>
  </si>
  <si>
    <t>Ground speed for wind correction</t>
  </si>
  <si>
    <t>KST X10 servo</t>
  </si>
  <si>
    <t>Digital, metal gear, thin wing form factor</t>
  </si>
  <si>
    <t>MKS equivalent also fine</t>
  </si>
  <si>
    <t>JP Hobby retract set</t>
  </si>
  <si>
    <t>70 mm class, 3 units, alloy oleo struts</t>
  </si>
  <si>
    <t>Not nylon struts</t>
  </si>
  <si>
    <t>Retract sequencer</t>
  </si>
  <si>
    <t>Electronic, 3 channel</t>
  </si>
  <si>
    <t>Skip if integrated in retract set</t>
  </si>
  <si>
    <t>Switching BEC</t>
  </si>
  <si>
    <t>8 A, 5-6 V output</t>
  </si>
  <si>
    <t>Separate from ESC linear BEC</t>
  </si>
  <si>
    <t>One spare - lost link at speed is total loss</t>
  </si>
  <si>
    <t>RadioMaster TX16S MKII</t>
  </si>
  <si>
    <t>Skip if you already own a transmitter</t>
  </si>
  <si>
    <t>D - Materials</t>
  </si>
  <si>
    <t>LW-PLA filament</t>
  </si>
  <si>
    <t>Foaming lightweight PLA, 3 kg</t>
  </si>
  <si>
    <t>Airframe shells and wing skins</t>
  </si>
  <si>
    <t>PETG or ASA filament</t>
  </si>
  <si>
    <t>1 kg</t>
  </si>
  <si>
    <t>Duct, nozzles, thrust tube, motor-adjacent</t>
  </si>
  <si>
    <t>PA-CF filament</t>
  </si>
  <si>
    <t>Carbon-filled nylon, 0.5 kg</t>
  </si>
  <si>
    <t>Gear mounts and hardpoints</t>
  </si>
  <si>
    <t>Carbon tube spars</t>
  </si>
  <si>
    <t>Pultruded, assorted diameters</t>
  </si>
  <si>
    <t>Carries wing bending, not printed structure</t>
  </si>
  <si>
    <t>Epoxy + filler primer + sandpaper</t>
  </si>
  <si>
    <t>Laminating epoxy, 400-1000 grit</t>
  </si>
  <si>
    <t>Duct interior finish converts to thrust</t>
  </si>
  <si>
    <t>Plywood / hardware / hinges / pushrods</t>
  </si>
  <si>
    <t>Airframe misc</t>
  </si>
  <si>
    <t>E - Trainer</t>
  </si>
  <si>
    <t>ORDER FIRST - weather is the schedule driver</t>
  </si>
  <si>
    <t>Odorless CA, activator, spare canopy/gear</t>
  </si>
  <si>
    <t>It will get repaired</t>
  </si>
  <si>
    <t>F - 12S upgrade</t>
  </si>
  <si>
    <t>12S rated, fits same DS-30 housing</t>
  </si>
  <si>
    <t>Only after Phase 5 confirms airframe</t>
  </si>
  <si>
    <t>Castle Phoenix Edge HV 120</t>
  </si>
  <si>
    <t>HV-rated ESC, 12S capable</t>
  </si>
  <si>
    <t>6S ESC on 12S destroys it instantly</t>
  </si>
  <si>
    <t>6S 3300 mAh 70C, series pairs</t>
  </si>
  <si>
    <t>Pairs with existing packs for 12S</t>
  </si>
  <si>
    <t>AS150 anti-spark connector set</t>
  </si>
  <si>
    <t>12S main power</t>
  </si>
  <si>
    <t>Anti-spark required at 12S inrush</t>
  </si>
  <si>
    <t>TOTALS</t>
  </si>
  <si>
    <t>Items purchased</t>
  </si>
  <si>
    <t>Items remaining</t>
  </si>
  <si>
    <t>Spent so far</t>
  </si>
  <si>
    <t>Still to buy (priced)</t>
  </si>
  <si>
    <t>Grand total (priced)</t>
  </si>
  <si>
    <t>Rows still unpriced</t>
  </si>
  <si>
    <t>Items</t>
  </si>
  <si>
    <t>Purchased</t>
  </si>
  <si>
    <t>Group Total</t>
  </si>
  <si>
    <t>Spent</t>
  </si>
  <si>
    <t>TOTAL</t>
  </si>
  <si>
    <t xml:space="preserve"> </t>
  </si>
  <si>
    <t>SparkFun</t>
  </si>
  <si>
    <t>Amazon</t>
  </si>
  <si>
    <t>Freewing Yak-130 Trainer RC plane</t>
  </si>
  <si>
    <t>70mm PNP</t>
  </si>
  <si>
    <t>Motion RC</t>
  </si>
  <si>
    <t>E- Trainer</t>
  </si>
  <si>
    <t>Foam-safe CA</t>
  </si>
  <si>
    <t>5 min epoxy</t>
  </si>
  <si>
    <t>EC5 connector set</t>
  </si>
  <si>
    <t>6S 22.2V 3300mAh, EC5</t>
  </si>
  <si>
    <t>XT60 - EC5 adapter</t>
  </si>
  <si>
    <t>2 pairs xt60-ec5 and 2 pairs ec5-xt60</t>
  </si>
  <si>
    <t>ELRS internal module, mode 2, w/ 5000 mAh battery</t>
  </si>
  <si>
    <t>RadioMaster ELRS ER8 reciever</t>
  </si>
  <si>
    <t>2.4 GHz 8 ch ELRS PWM</t>
  </si>
  <si>
    <t>ISDT LiPo battery Charger MK2</t>
  </si>
  <si>
    <t>2x200W, 6s</t>
  </si>
  <si>
    <t>Klein MM420</t>
  </si>
  <si>
    <t>Digital, temperature + relative humidity, GOVEE H5075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</si>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</sst>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5F0D5"/>
      </patternFill>
    </fill>
    <fill>
      <patternFill patternType="solid">
        <fgColor rgb="FFFFFFCC"/>
        <bgColor rgb="FFFFFFF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164" fontId="5" fillId="4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5" fontId="5" fillId="4" borderId="1" xfId="0" applyNumberFormat="1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horizont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7" fillId="0" borderId="0" xfId="0" applyFont="1"/>
    <xf numFmtId="0" fontId="7" fillId="0" borderId="1" xfId="0" applyFont="1" applyBorder="1"/>
    <xf numFmtId="164" fontId="7" fillId="0" borderId="1" xfId="0" applyNumberFormat="1" applyFont="1" applyBorder="1"/>
    <xf numFmtId="0" fontId="5" fillId="5" borderId="1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>
          <bgColor rgb="FFD5F0D5"/>
        </patternFill>
      </fill>
    </dxf>
    <dxf>
      <fill>
        <patternFill>
          <bgColor rgb="FFD5F0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0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en, Mason Andrew" id="{BC6A29FC-35FB-4ABB-BDDE-D216BC17D9DE}" userId="S::masonac3@illinois.edu::fa9696a9-defd-469a-b8e9-dcca41db164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6-09-11T00:00:42.06" personId="{BC6A29FC-35FB-4ABB-BDDE-D216BC17D9DE}" id="{759FF786-B073-4836-9D7F-2FE5D1623598}">
    <text>MIGHT CHANGE FOR ALTERNATIVE</text>
  </threadedComment>
  <threadedComment ref="C61" dT="2026-09-11T05:09:19.06" personId="{BC6A29FC-35FB-4ABB-BDDE-D216BC17D9DE}" id="{14C3E630-9373-4591-B522-B2922E50FF8B}">
    <text>Amazon items tax not included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zoomScaleNormal="100" workbookViewId="0"/>
  </sheetViews>
  <sheetFormatPr defaultColWidth="8.6328125" defaultRowHeight="14.5" x14ac:dyDescent="0.35"/>
  <cols>
    <col min="1" max="1" width="95" customWidth="1"/>
  </cols>
  <sheetData>
    <row r="1" spans="1:1" ht="18" x14ac:dyDescent="0.4">
      <c r="A1" s="1" t="s">
        <v>0</v>
      </c>
    </row>
    <row r="2" spans="1:1" x14ac:dyDescent="0.35">
      <c r="A2" s="2"/>
    </row>
    <row r="3" spans="1:1" ht="15.5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/>
    </row>
    <row r="7" spans="1:1" x14ac:dyDescent="0.35">
      <c r="A7" s="2" t="s">
        <v>4</v>
      </c>
    </row>
    <row r="8" spans="1:1" x14ac:dyDescent="0.35">
      <c r="A8" s="2" t="s">
        <v>5</v>
      </c>
    </row>
    <row r="9" spans="1:1" x14ac:dyDescent="0.35">
      <c r="A9" s="2"/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/>
    </row>
    <row r="13" spans="1:1" ht="15.5" x14ac:dyDescent="0.35">
      <c r="A13" s="3" t="s">
        <v>8</v>
      </c>
    </row>
    <row r="14" spans="1:1" x14ac:dyDescent="0.35">
      <c r="A14" s="2" t="s">
        <v>9</v>
      </c>
    </row>
    <row r="15" spans="1:1" x14ac:dyDescent="0.35">
      <c r="A15" s="2" t="s">
        <v>10</v>
      </c>
    </row>
    <row r="16" spans="1:1" x14ac:dyDescent="0.35">
      <c r="A16" s="2" t="s">
        <v>11</v>
      </c>
    </row>
    <row r="17" spans="1:1" x14ac:dyDescent="0.35">
      <c r="A17" s="2" t="s">
        <v>12</v>
      </c>
    </row>
    <row r="18" spans="1:1" x14ac:dyDescent="0.35">
      <c r="A18" s="2" t="s">
        <v>13</v>
      </c>
    </row>
    <row r="19" spans="1:1" x14ac:dyDescent="0.35">
      <c r="A19" s="2" t="s">
        <v>14</v>
      </c>
    </row>
    <row r="20" spans="1:1" x14ac:dyDescent="0.35">
      <c r="A20" s="2" t="s">
        <v>15</v>
      </c>
    </row>
    <row r="21" spans="1:1" x14ac:dyDescent="0.35">
      <c r="A21" s="2"/>
    </row>
    <row r="22" spans="1:1" ht="15.5" x14ac:dyDescent="0.35">
      <c r="A22" s="3" t="s">
        <v>16</v>
      </c>
    </row>
    <row r="23" spans="1:1" x14ac:dyDescent="0.35">
      <c r="A23" s="2" t="s">
        <v>17</v>
      </c>
    </row>
    <row r="24" spans="1:1" x14ac:dyDescent="0.35">
      <c r="A24" s="2" t="s">
        <v>18</v>
      </c>
    </row>
    <row r="25" spans="1:1" x14ac:dyDescent="0.35">
      <c r="A25" s="2"/>
    </row>
    <row r="26" spans="1:1" x14ac:dyDescent="0.35">
      <c r="A26" s="2" t="s">
        <v>19</v>
      </c>
    </row>
    <row r="27" spans="1:1" x14ac:dyDescent="0.35">
      <c r="A27" s="2" t="s">
        <v>20</v>
      </c>
    </row>
    <row r="28" spans="1:1" x14ac:dyDescent="0.35">
      <c r="A28" s="2"/>
    </row>
    <row r="29" spans="1:1" x14ac:dyDescent="0.35">
      <c r="A29" s="2" t="s">
        <v>21</v>
      </c>
    </row>
    <row r="30" spans="1:1" x14ac:dyDescent="0.35">
      <c r="A30" s="2" t="s">
        <v>22</v>
      </c>
    </row>
    <row r="31" spans="1:1" x14ac:dyDescent="0.35">
      <c r="A31" s="2"/>
    </row>
    <row r="32" spans="1:1" ht="15.5" x14ac:dyDescent="0.35">
      <c r="A32" s="3" t="s">
        <v>23</v>
      </c>
    </row>
    <row r="33" spans="1:1" x14ac:dyDescent="0.35">
      <c r="A33" s="2" t="s">
        <v>24</v>
      </c>
    </row>
    <row r="34" spans="1:1" x14ac:dyDescent="0.35">
      <c r="A34" s="2" t="s">
        <v>25</v>
      </c>
    </row>
    <row r="35" spans="1:1" x14ac:dyDescent="0.35">
      <c r="A35" s="2" t="s">
        <v>26</v>
      </c>
    </row>
    <row r="36" spans="1:1" x14ac:dyDescent="0.35">
      <c r="A36" s="2" t="s">
        <v>27</v>
      </c>
    </row>
    <row r="37" spans="1:1" x14ac:dyDescent="0.35">
      <c r="A37" s="2" t="s">
        <v>28</v>
      </c>
    </row>
    <row r="38" spans="1:1" x14ac:dyDescent="0.35">
      <c r="A38" s="2" t="s">
        <v>29</v>
      </c>
    </row>
    <row r="39" spans="1:1" x14ac:dyDescent="0.35">
      <c r="A39" s="2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tabSelected="1" zoomScale="68" zoomScaleNormal="94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63" sqref="D63"/>
    </sheetView>
  </sheetViews>
  <sheetFormatPr defaultColWidth="8.6328125" defaultRowHeight="14.5" x14ac:dyDescent="0.35"/>
  <cols>
    <col min="1" max="1" width="7" customWidth="1"/>
    <col min="2" max="2" width="17.453125" bestFit="1" customWidth="1"/>
    <col min="3" max="3" width="27" customWidth="1"/>
    <col min="4" max="4" width="46" customWidth="1"/>
    <col min="5" max="5" width="6" customWidth="1"/>
    <col min="6" max="7" width="12" customWidth="1"/>
    <col min="8" max="8" width="18" customWidth="1"/>
    <col min="9" max="10" width="13" customWidth="1"/>
    <col min="11" max="11" width="42" customWidth="1"/>
  </cols>
  <sheetData>
    <row r="1" spans="1:11" x14ac:dyDescent="0.35">
      <c r="A1" s="4" t="s">
        <v>197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spans="1:11" x14ac:dyDescent="0.35">
      <c r="A2" s="5" t="s">
        <v>217</v>
      </c>
      <c r="B2" s="6" t="s">
        <v>42</v>
      </c>
      <c r="C2" s="7" t="s">
        <v>43</v>
      </c>
      <c r="D2" s="8" t="s">
        <v>44</v>
      </c>
      <c r="E2" s="5">
        <v>1</v>
      </c>
      <c r="F2" s="9">
        <v>24.33</v>
      </c>
      <c r="G2" s="10">
        <f t="shared" ref="G2:G33" si="0">IF(F2="","",E2*F2)</f>
        <v>24.33</v>
      </c>
      <c r="H2" s="11" t="s">
        <v>198</v>
      </c>
      <c r="I2" s="12">
        <v>46275</v>
      </c>
      <c r="J2" s="12">
        <v>46293</v>
      </c>
      <c r="K2" s="8" t="s">
        <v>45</v>
      </c>
    </row>
    <row r="3" spans="1:11" x14ac:dyDescent="0.35">
      <c r="A3" s="5" t="s">
        <v>217</v>
      </c>
      <c r="B3" s="6" t="s">
        <v>42</v>
      </c>
      <c r="C3" s="7" t="s">
        <v>46</v>
      </c>
      <c r="D3" s="8" t="s">
        <v>47</v>
      </c>
      <c r="E3" s="5">
        <v>2</v>
      </c>
      <c r="F3" s="9">
        <f>6.99/2</f>
        <v>3.4950000000000001</v>
      </c>
      <c r="G3" s="10">
        <f t="shared" si="0"/>
        <v>6.99</v>
      </c>
      <c r="H3" s="11" t="s">
        <v>199</v>
      </c>
      <c r="I3" s="12">
        <v>46275</v>
      </c>
      <c r="J3" s="12">
        <v>46278</v>
      </c>
      <c r="K3" s="8" t="s">
        <v>48</v>
      </c>
    </row>
    <row r="4" spans="1:11" x14ac:dyDescent="0.35">
      <c r="A4" s="5" t="s">
        <v>217</v>
      </c>
      <c r="B4" s="6" t="s">
        <v>42</v>
      </c>
      <c r="C4" s="7" t="s">
        <v>49</v>
      </c>
      <c r="D4" s="8" t="s">
        <v>50</v>
      </c>
      <c r="E4" s="5">
        <v>3</v>
      </c>
      <c r="F4" s="9">
        <f>15.99/3</f>
        <v>5.33</v>
      </c>
      <c r="G4" s="10">
        <f t="shared" si="0"/>
        <v>15.99</v>
      </c>
      <c r="H4" s="11" t="s">
        <v>199</v>
      </c>
      <c r="I4" s="12">
        <v>46275</v>
      </c>
      <c r="J4" s="12">
        <v>46278</v>
      </c>
      <c r="K4" s="8" t="s">
        <v>51</v>
      </c>
    </row>
    <row r="5" spans="1:11" x14ac:dyDescent="0.35">
      <c r="A5" s="5" t="s">
        <v>41</v>
      </c>
      <c r="B5" s="6" t="s">
        <v>42</v>
      </c>
      <c r="C5" s="7" t="s">
        <v>52</v>
      </c>
      <c r="D5" s="8" t="s">
        <v>53</v>
      </c>
      <c r="E5" s="5">
        <v>2</v>
      </c>
      <c r="F5" s="9"/>
      <c r="G5" s="10" t="str">
        <f t="shared" si="0"/>
        <v/>
      </c>
      <c r="H5" s="11"/>
      <c r="I5" s="12"/>
      <c r="J5" s="12"/>
      <c r="K5" s="8" t="s">
        <v>54</v>
      </c>
    </row>
    <row r="6" spans="1:11" x14ac:dyDescent="0.35">
      <c r="A6" s="5" t="s">
        <v>217</v>
      </c>
      <c r="B6" s="6" t="s">
        <v>42</v>
      </c>
      <c r="C6" s="7" t="s">
        <v>55</v>
      </c>
      <c r="D6" s="8" t="s">
        <v>215</v>
      </c>
      <c r="E6" s="5">
        <v>1</v>
      </c>
      <c r="F6" s="9">
        <v>64.819999999999993</v>
      </c>
      <c r="G6" s="10">
        <f t="shared" si="0"/>
        <v>64.819999999999993</v>
      </c>
      <c r="H6" s="11" t="s">
        <v>199</v>
      </c>
      <c r="I6" s="12">
        <v>46275</v>
      </c>
      <c r="J6" s="12">
        <v>46278</v>
      </c>
      <c r="K6" s="8" t="s">
        <v>56</v>
      </c>
    </row>
    <row r="7" spans="1:11" x14ac:dyDescent="0.35">
      <c r="A7" s="5" t="s">
        <v>217</v>
      </c>
      <c r="B7" s="6" t="s">
        <v>42</v>
      </c>
      <c r="C7" s="7" t="s">
        <v>57</v>
      </c>
      <c r="D7" s="8" t="s">
        <v>58</v>
      </c>
      <c r="E7" s="5">
        <v>1</v>
      </c>
      <c r="F7" s="9">
        <v>21.98</v>
      </c>
      <c r="G7" s="10">
        <f t="shared" si="0"/>
        <v>21.98</v>
      </c>
      <c r="H7" s="11" t="s">
        <v>199</v>
      </c>
      <c r="I7" s="12">
        <v>46275</v>
      </c>
      <c r="J7" s="12">
        <v>46278</v>
      </c>
      <c r="K7" s="8" t="s">
        <v>59</v>
      </c>
    </row>
    <row r="8" spans="1:11" x14ac:dyDescent="0.35">
      <c r="A8" s="5" t="s">
        <v>217</v>
      </c>
      <c r="B8" s="6" t="s">
        <v>42</v>
      </c>
      <c r="C8" s="7" t="s">
        <v>60</v>
      </c>
      <c r="D8" s="8" t="s">
        <v>216</v>
      </c>
      <c r="E8" s="5">
        <v>1</v>
      </c>
      <c r="F8" s="9">
        <v>12.99</v>
      </c>
      <c r="G8" s="10">
        <f t="shared" si="0"/>
        <v>12.99</v>
      </c>
      <c r="H8" s="11" t="s">
        <v>199</v>
      </c>
      <c r="I8" s="12">
        <v>46275</v>
      </c>
      <c r="J8" s="12">
        <v>46278</v>
      </c>
      <c r="K8" s="8" t="s">
        <v>61</v>
      </c>
    </row>
    <row r="9" spans="1:11" x14ac:dyDescent="0.35">
      <c r="A9" s="5" t="s">
        <v>41</v>
      </c>
      <c r="B9" s="6" t="s">
        <v>42</v>
      </c>
      <c r="C9" s="7" t="s">
        <v>62</v>
      </c>
      <c r="D9" s="8" t="s">
        <v>63</v>
      </c>
      <c r="E9" s="5">
        <v>2</v>
      </c>
      <c r="F9" s="9"/>
      <c r="G9" s="10" t="str">
        <f t="shared" si="0"/>
        <v/>
      </c>
      <c r="H9" s="11"/>
      <c r="I9" s="12"/>
      <c r="J9" s="12"/>
      <c r="K9" s="8" t="s">
        <v>64</v>
      </c>
    </row>
    <row r="10" spans="1:11" x14ac:dyDescent="0.35">
      <c r="A10" s="5" t="s">
        <v>41</v>
      </c>
      <c r="B10" s="6" t="s">
        <v>42</v>
      </c>
      <c r="C10" s="7" t="s">
        <v>65</v>
      </c>
      <c r="D10" s="8" t="s">
        <v>66</v>
      </c>
      <c r="E10" s="5">
        <v>1</v>
      </c>
      <c r="F10" s="9"/>
      <c r="G10" s="10" t="str">
        <f t="shared" si="0"/>
        <v/>
      </c>
      <c r="H10" s="11"/>
      <c r="I10" s="12"/>
      <c r="J10" s="12"/>
      <c r="K10" s="8" t="s">
        <v>67</v>
      </c>
    </row>
    <row r="11" spans="1:11" x14ac:dyDescent="0.35">
      <c r="A11" s="5" t="s">
        <v>41</v>
      </c>
      <c r="B11" s="6" t="s">
        <v>42</v>
      </c>
      <c r="C11" s="7" t="s">
        <v>68</v>
      </c>
      <c r="D11" s="8" t="s">
        <v>69</v>
      </c>
      <c r="E11" s="5">
        <v>1</v>
      </c>
      <c r="F11" s="9"/>
      <c r="G11" s="10" t="str">
        <f t="shared" si="0"/>
        <v/>
      </c>
      <c r="H11" s="11"/>
      <c r="I11" s="12"/>
      <c r="J11" s="12"/>
      <c r="K11" s="8" t="s">
        <v>67</v>
      </c>
    </row>
    <row r="12" spans="1:11" x14ac:dyDescent="0.35">
      <c r="A12" s="5" t="s">
        <v>41</v>
      </c>
      <c r="B12" s="6" t="s">
        <v>42</v>
      </c>
      <c r="C12" s="7" t="s">
        <v>70</v>
      </c>
      <c r="D12" s="8" t="s">
        <v>71</v>
      </c>
      <c r="E12" s="5">
        <v>1</v>
      </c>
      <c r="F12" s="9"/>
      <c r="G12" s="10" t="str">
        <f t="shared" si="0"/>
        <v/>
      </c>
      <c r="H12" s="11"/>
      <c r="I12" s="12"/>
      <c r="J12" s="12"/>
      <c r="K12" s="8" t="s">
        <v>67</v>
      </c>
    </row>
    <row r="13" spans="1:11" x14ac:dyDescent="0.35">
      <c r="A13" s="5" t="s">
        <v>41</v>
      </c>
      <c r="B13" s="6" t="s">
        <v>42</v>
      </c>
      <c r="C13" s="7" t="s">
        <v>72</v>
      </c>
      <c r="D13" s="8" t="s">
        <v>73</v>
      </c>
      <c r="E13" s="5">
        <v>1</v>
      </c>
      <c r="F13" s="9"/>
      <c r="G13" s="10" t="str">
        <f t="shared" si="0"/>
        <v/>
      </c>
      <c r="H13" s="11"/>
      <c r="I13" s="12"/>
      <c r="J13" s="12"/>
      <c r="K13" s="8" t="s">
        <v>74</v>
      </c>
    </row>
    <row r="14" spans="1:11" x14ac:dyDescent="0.35">
      <c r="A14" s="5" t="s">
        <v>41</v>
      </c>
      <c r="B14" s="6" t="s">
        <v>42</v>
      </c>
      <c r="C14" s="7" t="s">
        <v>75</v>
      </c>
      <c r="D14" s="8" t="s">
        <v>76</v>
      </c>
      <c r="E14" s="5">
        <v>1</v>
      </c>
      <c r="F14" s="9"/>
      <c r="G14" s="10" t="str">
        <f t="shared" si="0"/>
        <v/>
      </c>
      <c r="H14" s="11"/>
      <c r="I14" s="12"/>
      <c r="J14" s="12"/>
      <c r="K14" s="8" t="s">
        <v>77</v>
      </c>
    </row>
    <row r="15" spans="1:11" x14ac:dyDescent="0.35">
      <c r="A15" s="5" t="s">
        <v>41</v>
      </c>
      <c r="B15" s="6" t="s">
        <v>42</v>
      </c>
      <c r="C15" s="7" t="s">
        <v>78</v>
      </c>
      <c r="D15" s="8" t="s">
        <v>79</v>
      </c>
      <c r="E15" s="5">
        <v>1</v>
      </c>
      <c r="F15" s="9"/>
      <c r="G15" s="10" t="str">
        <f t="shared" si="0"/>
        <v/>
      </c>
      <c r="H15" s="11"/>
      <c r="I15" s="12"/>
      <c r="J15" s="12"/>
      <c r="K15" s="8" t="s">
        <v>80</v>
      </c>
    </row>
    <row r="16" spans="1:11" ht="25" x14ac:dyDescent="0.35">
      <c r="A16" s="5" t="s">
        <v>41</v>
      </c>
      <c r="B16" s="6" t="s">
        <v>42</v>
      </c>
      <c r="C16" s="7" t="s">
        <v>81</v>
      </c>
      <c r="D16" s="8" t="s">
        <v>82</v>
      </c>
      <c r="E16" s="5">
        <v>1</v>
      </c>
      <c r="F16" s="9"/>
      <c r="G16" s="10" t="str">
        <f t="shared" si="0"/>
        <v/>
      </c>
      <c r="H16" s="11"/>
      <c r="I16" s="12"/>
      <c r="J16" s="12"/>
      <c r="K16" s="8" t="s">
        <v>83</v>
      </c>
    </row>
    <row r="17" spans="1:11" ht="25" x14ac:dyDescent="0.35">
      <c r="A17" s="5" t="s">
        <v>41</v>
      </c>
      <c r="B17" s="13" t="s">
        <v>84</v>
      </c>
      <c r="C17" s="13" t="s">
        <v>85</v>
      </c>
      <c r="D17" s="8" t="s">
        <v>86</v>
      </c>
      <c r="E17" s="5">
        <v>1</v>
      </c>
      <c r="F17" s="9"/>
      <c r="G17" s="10" t="str">
        <f t="shared" si="0"/>
        <v/>
      </c>
      <c r="H17" s="11"/>
      <c r="I17" s="12"/>
      <c r="J17" s="12"/>
      <c r="K17" s="8" t="s">
        <v>87</v>
      </c>
    </row>
    <row r="18" spans="1:11" x14ac:dyDescent="0.35">
      <c r="A18" s="5" t="s">
        <v>41</v>
      </c>
      <c r="B18" s="13" t="s">
        <v>84</v>
      </c>
      <c r="C18" s="13" t="s">
        <v>88</v>
      </c>
      <c r="D18" s="8" t="s">
        <v>89</v>
      </c>
      <c r="E18" s="5">
        <v>8</v>
      </c>
      <c r="F18" s="9"/>
      <c r="G18" s="10" t="str">
        <f t="shared" si="0"/>
        <v/>
      </c>
      <c r="H18" s="11"/>
      <c r="I18" s="12"/>
      <c r="J18" s="12"/>
      <c r="K18" s="8" t="s">
        <v>90</v>
      </c>
    </row>
    <row r="19" spans="1:11" x14ac:dyDescent="0.35">
      <c r="A19" s="5" t="s">
        <v>41</v>
      </c>
      <c r="B19" s="13" t="s">
        <v>84</v>
      </c>
      <c r="C19" s="13" t="s">
        <v>91</v>
      </c>
      <c r="D19" s="8" t="s">
        <v>92</v>
      </c>
      <c r="E19" s="5">
        <v>1</v>
      </c>
      <c r="F19" s="9"/>
      <c r="G19" s="10" t="str">
        <f t="shared" si="0"/>
        <v/>
      </c>
      <c r="H19" s="11"/>
      <c r="I19" s="12"/>
      <c r="J19" s="12"/>
      <c r="K19" s="8" t="s">
        <v>93</v>
      </c>
    </row>
    <row r="20" spans="1:11" x14ac:dyDescent="0.35">
      <c r="A20" s="5" t="s">
        <v>41</v>
      </c>
      <c r="B20" s="13" t="s">
        <v>84</v>
      </c>
      <c r="C20" s="13" t="s">
        <v>94</v>
      </c>
      <c r="D20" s="8" t="s">
        <v>95</v>
      </c>
      <c r="E20" s="5">
        <v>1</v>
      </c>
      <c r="F20" s="9"/>
      <c r="G20" s="10" t="str">
        <f t="shared" si="0"/>
        <v/>
      </c>
      <c r="H20" s="11"/>
      <c r="I20" s="12"/>
      <c r="J20" s="12"/>
      <c r="K20" s="8" t="s">
        <v>96</v>
      </c>
    </row>
    <row r="21" spans="1:11" x14ac:dyDescent="0.35">
      <c r="A21" s="5" t="s">
        <v>41</v>
      </c>
      <c r="B21" s="13" t="s">
        <v>84</v>
      </c>
      <c r="C21" s="13" t="s">
        <v>97</v>
      </c>
      <c r="D21" s="8" t="s">
        <v>98</v>
      </c>
      <c r="E21" s="5">
        <v>1</v>
      </c>
      <c r="F21" s="9"/>
      <c r="G21" s="10" t="str">
        <f t="shared" si="0"/>
        <v/>
      </c>
      <c r="H21" s="11"/>
      <c r="I21" s="12"/>
      <c r="J21" s="12"/>
      <c r="K21" s="8" t="s">
        <v>99</v>
      </c>
    </row>
    <row r="22" spans="1:11" x14ac:dyDescent="0.35">
      <c r="A22" s="5" t="s">
        <v>41</v>
      </c>
      <c r="B22" s="13" t="s">
        <v>84</v>
      </c>
      <c r="C22" s="13" t="s">
        <v>100</v>
      </c>
      <c r="D22" s="8" t="s">
        <v>101</v>
      </c>
      <c r="E22" s="5">
        <v>1</v>
      </c>
      <c r="F22" s="9"/>
      <c r="G22" s="10" t="str">
        <f t="shared" si="0"/>
        <v/>
      </c>
      <c r="H22" s="11"/>
      <c r="I22" s="12"/>
      <c r="J22" s="12"/>
      <c r="K22" s="8" t="s">
        <v>102</v>
      </c>
    </row>
    <row r="23" spans="1:11" x14ac:dyDescent="0.35">
      <c r="A23" s="5" t="s">
        <v>41</v>
      </c>
      <c r="B23" s="13" t="s">
        <v>84</v>
      </c>
      <c r="C23" s="13" t="s">
        <v>103</v>
      </c>
      <c r="D23" s="8" t="s">
        <v>104</v>
      </c>
      <c r="E23" s="5">
        <v>1</v>
      </c>
      <c r="F23" s="9"/>
      <c r="G23" s="10" t="str">
        <f t="shared" si="0"/>
        <v/>
      </c>
      <c r="H23" s="11"/>
      <c r="I23" s="12"/>
      <c r="J23" s="12"/>
      <c r="K23" s="8" t="s">
        <v>105</v>
      </c>
    </row>
    <row r="24" spans="1:11" x14ac:dyDescent="0.35">
      <c r="A24" s="5" t="s">
        <v>41</v>
      </c>
      <c r="B24" s="13" t="s">
        <v>106</v>
      </c>
      <c r="C24" s="13" t="s">
        <v>107</v>
      </c>
      <c r="D24" s="8" t="s">
        <v>108</v>
      </c>
      <c r="E24" s="5">
        <v>1</v>
      </c>
      <c r="F24" s="9"/>
      <c r="G24" s="10" t="str">
        <f t="shared" si="0"/>
        <v/>
      </c>
      <c r="H24" s="11"/>
      <c r="I24" s="12"/>
      <c r="J24" s="12"/>
      <c r="K24" s="8" t="s">
        <v>109</v>
      </c>
    </row>
    <row r="25" spans="1:11" x14ac:dyDescent="0.35">
      <c r="A25" s="5" t="s">
        <v>41</v>
      </c>
      <c r="B25" s="13" t="s">
        <v>106</v>
      </c>
      <c r="C25" s="13" t="s">
        <v>110</v>
      </c>
      <c r="D25" s="8" t="s">
        <v>111</v>
      </c>
      <c r="E25" s="5">
        <v>1</v>
      </c>
      <c r="F25" s="9"/>
      <c r="G25" s="10" t="str">
        <f t="shared" si="0"/>
        <v/>
      </c>
      <c r="H25" s="11"/>
      <c r="I25" s="12"/>
      <c r="J25" s="12"/>
      <c r="K25" s="8" t="s">
        <v>112</v>
      </c>
    </row>
    <row r="26" spans="1:11" x14ac:dyDescent="0.35">
      <c r="A26" s="5" t="s">
        <v>41</v>
      </c>
      <c r="B26" s="13" t="s">
        <v>106</v>
      </c>
      <c r="C26" s="13" t="s">
        <v>113</v>
      </c>
      <c r="D26" s="8" t="s">
        <v>114</v>
      </c>
      <c r="E26" s="5">
        <v>1</v>
      </c>
      <c r="F26" s="9"/>
      <c r="G26" s="10" t="str">
        <f t="shared" si="0"/>
        <v/>
      </c>
      <c r="H26" s="11"/>
      <c r="I26" s="12"/>
      <c r="J26" s="12"/>
      <c r="K26" s="8" t="s">
        <v>115</v>
      </c>
    </row>
    <row r="27" spans="1:11" x14ac:dyDescent="0.35">
      <c r="A27" s="5" t="s">
        <v>217</v>
      </c>
      <c r="B27" s="13" t="s">
        <v>106</v>
      </c>
      <c r="C27" s="13" t="s">
        <v>116</v>
      </c>
      <c r="D27" t="s">
        <v>207</v>
      </c>
      <c r="E27" s="5">
        <v>2</v>
      </c>
      <c r="F27" s="9">
        <f>61.2</f>
        <v>61.2</v>
      </c>
      <c r="G27" s="10">
        <f t="shared" si="0"/>
        <v>122.4</v>
      </c>
      <c r="H27" s="11" t="s">
        <v>199</v>
      </c>
      <c r="I27" s="12">
        <v>46275</v>
      </c>
      <c r="J27" s="12">
        <v>46279</v>
      </c>
      <c r="K27" s="8" t="s">
        <v>117</v>
      </c>
    </row>
    <row r="28" spans="1:11" x14ac:dyDescent="0.35">
      <c r="A28" s="5" t="s">
        <v>217</v>
      </c>
      <c r="B28" s="13" t="s">
        <v>106</v>
      </c>
      <c r="C28" s="13" t="s">
        <v>213</v>
      </c>
      <c r="D28" s="8" t="s">
        <v>214</v>
      </c>
      <c r="E28" s="5">
        <v>1</v>
      </c>
      <c r="F28" s="9">
        <v>96</v>
      </c>
      <c r="G28" s="10">
        <f t="shared" si="0"/>
        <v>96</v>
      </c>
      <c r="H28" s="11" t="s">
        <v>199</v>
      </c>
      <c r="I28" s="12">
        <v>46275</v>
      </c>
      <c r="J28" s="12">
        <v>46278</v>
      </c>
      <c r="K28" s="8" t="s">
        <v>118</v>
      </c>
    </row>
    <row r="29" spans="1:11" x14ac:dyDescent="0.35">
      <c r="A29" s="5" t="s">
        <v>41</v>
      </c>
      <c r="B29" s="13" t="s">
        <v>106</v>
      </c>
      <c r="C29" s="13" t="s">
        <v>206</v>
      </c>
      <c r="D29" s="8" t="s">
        <v>119</v>
      </c>
      <c r="E29" s="5">
        <v>1</v>
      </c>
      <c r="F29" s="9"/>
      <c r="G29" s="10" t="str">
        <f t="shared" si="0"/>
        <v/>
      </c>
      <c r="H29" s="11"/>
      <c r="I29" s="12"/>
      <c r="J29" s="12"/>
      <c r="K29" s="8" t="s">
        <v>120</v>
      </c>
    </row>
    <row r="30" spans="1:11" x14ac:dyDescent="0.35">
      <c r="A30" s="5" t="s">
        <v>41</v>
      </c>
      <c r="B30" s="13" t="s">
        <v>106</v>
      </c>
      <c r="C30" s="13" t="s">
        <v>121</v>
      </c>
      <c r="D30" s="8" t="s">
        <v>122</v>
      </c>
      <c r="E30" s="5">
        <v>1</v>
      </c>
      <c r="F30" s="9"/>
      <c r="G30" s="10" t="str">
        <f t="shared" si="0"/>
        <v/>
      </c>
      <c r="H30" s="11"/>
      <c r="I30" s="12"/>
      <c r="J30" s="12"/>
      <c r="K30" s="8" t="s">
        <v>123</v>
      </c>
    </row>
    <row r="31" spans="1:11" x14ac:dyDescent="0.35">
      <c r="A31" s="5" t="s">
        <v>41</v>
      </c>
      <c r="B31" s="13" t="s">
        <v>106</v>
      </c>
      <c r="C31" s="13" t="s">
        <v>124</v>
      </c>
      <c r="D31" s="8" t="s">
        <v>125</v>
      </c>
      <c r="E31" s="5">
        <v>4</v>
      </c>
      <c r="F31" s="9"/>
      <c r="G31" s="10" t="str">
        <f t="shared" si="0"/>
        <v/>
      </c>
      <c r="H31" s="11"/>
      <c r="I31" s="12"/>
      <c r="J31" s="12"/>
      <c r="K31" s="8" t="s">
        <v>126</v>
      </c>
    </row>
    <row r="32" spans="1:11" x14ac:dyDescent="0.35">
      <c r="A32" s="5" t="s">
        <v>41</v>
      </c>
      <c r="B32" s="13" t="s">
        <v>127</v>
      </c>
      <c r="C32" s="13" t="s">
        <v>128</v>
      </c>
      <c r="D32" s="8" t="s">
        <v>129</v>
      </c>
      <c r="E32" s="5">
        <v>1</v>
      </c>
      <c r="F32" s="9"/>
      <c r="G32" s="10" t="str">
        <f t="shared" si="0"/>
        <v/>
      </c>
      <c r="H32" s="11"/>
      <c r="I32" s="12"/>
      <c r="J32" s="12"/>
      <c r="K32" s="8" t="s">
        <v>130</v>
      </c>
    </row>
    <row r="33" spans="1:11" x14ac:dyDescent="0.35">
      <c r="A33" s="5" t="s">
        <v>41</v>
      </c>
      <c r="B33" s="13" t="s">
        <v>127</v>
      </c>
      <c r="C33" s="13" t="s">
        <v>131</v>
      </c>
      <c r="D33" s="8" t="s">
        <v>132</v>
      </c>
      <c r="E33" s="5">
        <v>1</v>
      </c>
      <c r="F33" s="9"/>
      <c r="G33" s="10" t="str">
        <f t="shared" si="0"/>
        <v/>
      </c>
      <c r="H33" s="11"/>
      <c r="I33" s="12"/>
      <c r="J33" s="12"/>
      <c r="K33" s="8" t="s">
        <v>133</v>
      </c>
    </row>
    <row r="34" spans="1:11" x14ac:dyDescent="0.35">
      <c r="A34" s="5" t="s">
        <v>41</v>
      </c>
      <c r="B34" s="13" t="s">
        <v>127</v>
      </c>
      <c r="C34" s="13" t="s">
        <v>134</v>
      </c>
      <c r="D34" s="8" t="s">
        <v>135</v>
      </c>
      <c r="E34" s="5">
        <v>1</v>
      </c>
      <c r="F34" s="9"/>
      <c r="G34" s="10" t="str">
        <f t="shared" ref="G34:G54" si="1">IF(F34="","",E34*F34)</f>
        <v/>
      </c>
      <c r="H34" s="11"/>
      <c r="I34" s="12"/>
      <c r="J34" s="12"/>
      <c r="K34" s="8" t="s">
        <v>136</v>
      </c>
    </row>
    <row r="35" spans="1:11" x14ac:dyDescent="0.35">
      <c r="A35" s="5" t="s">
        <v>41</v>
      </c>
      <c r="B35" s="13" t="s">
        <v>127</v>
      </c>
      <c r="C35" s="13" t="s">
        <v>137</v>
      </c>
      <c r="D35" s="8" t="s">
        <v>138</v>
      </c>
      <c r="E35" s="5">
        <v>5</v>
      </c>
      <c r="F35" s="9"/>
      <c r="G35" s="10" t="str">
        <f t="shared" si="1"/>
        <v/>
      </c>
      <c r="H35" s="11"/>
      <c r="I35" s="12"/>
      <c r="J35" s="12"/>
      <c r="K35" s="8" t="s">
        <v>139</v>
      </c>
    </row>
    <row r="36" spans="1:11" x14ac:dyDescent="0.35">
      <c r="A36" s="5" t="s">
        <v>41</v>
      </c>
      <c r="B36" s="13" t="s">
        <v>127</v>
      </c>
      <c r="C36" s="13" t="s">
        <v>140</v>
      </c>
      <c r="D36" s="8" t="s">
        <v>141</v>
      </c>
      <c r="E36" s="5">
        <v>1</v>
      </c>
      <c r="F36" s="9"/>
      <c r="G36" s="10" t="str">
        <f t="shared" si="1"/>
        <v/>
      </c>
      <c r="H36" s="11"/>
      <c r="I36" s="12"/>
      <c r="J36" s="12"/>
      <c r="K36" s="8" t="s">
        <v>142</v>
      </c>
    </row>
    <row r="37" spans="1:11" x14ac:dyDescent="0.35">
      <c r="A37" s="5" t="s">
        <v>41</v>
      </c>
      <c r="B37" s="13" t="s">
        <v>127</v>
      </c>
      <c r="C37" s="13" t="s">
        <v>143</v>
      </c>
      <c r="D37" s="8" t="s">
        <v>144</v>
      </c>
      <c r="E37" s="5">
        <v>1</v>
      </c>
      <c r="F37" s="9"/>
      <c r="G37" s="10" t="str">
        <f t="shared" si="1"/>
        <v/>
      </c>
      <c r="H37" s="11"/>
      <c r="I37" s="12"/>
      <c r="J37" s="12"/>
      <c r="K37" s="8" t="s">
        <v>145</v>
      </c>
    </row>
    <row r="38" spans="1:11" x14ac:dyDescent="0.35">
      <c r="A38" s="5" t="s">
        <v>41</v>
      </c>
      <c r="B38" s="13" t="s">
        <v>127</v>
      </c>
      <c r="C38" s="13" t="s">
        <v>146</v>
      </c>
      <c r="D38" s="8" t="s">
        <v>147</v>
      </c>
      <c r="E38" s="5">
        <v>1</v>
      </c>
      <c r="F38" s="9"/>
      <c r="G38" s="10" t="str">
        <f t="shared" si="1"/>
        <v/>
      </c>
      <c r="H38" s="11"/>
      <c r="I38" s="12"/>
      <c r="J38" s="12"/>
      <c r="K38" s="8" t="s">
        <v>148</v>
      </c>
    </row>
    <row r="39" spans="1:11" x14ac:dyDescent="0.35">
      <c r="A39" s="5" t="s">
        <v>217</v>
      </c>
      <c r="B39" s="26" t="s">
        <v>127</v>
      </c>
      <c r="C39" s="13" t="s">
        <v>211</v>
      </c>
      <c r="D39" s="8" t="s">
        <v>212</v>
      </c>
      <c r="E39" s="5">
        <v>1</v>
      </c>
      <c r="F39" s="9">
        <v>49.99</v>
      </c>
      <c r="G39" s="10">
        <f t="shared" si="1"/>
        <v>49.99</v>
      </c>
      <c r="H39" s="11" t="s">
        <v>199</v>
      </c>
      <c r="I39" s="12">
        <v>46275</v>
      </c>
      <c r="J39" s="12">
        <v>46278</v>
      </c>
      <c r="K39" s="8" t="s">
        <v>149</v>
      </c>
    </row>
    <row r="40" spans="1:11" x14ac:dyDescent="0.35">
      <c r="A40" s="5" t="s">
        <v>217</v>
      </c>
      <c r="B40" s="26" t="s">
        <v>127</v>
      </c>
      <c r="C40" s="13" t="s">
        <v>150</v>
      </c>
      <c r="D40" s="8" t="s">
        <v>210</v>
      </c>
      <c r="E40" s="5">
        <v>1</v>
      </c>
      <c r="F40" s="9">
        <v>271.99</v>
      </c>
      <c r="G40" s="10">
        <f t="shared" si="1"/>
        <v>271.99</v>
      </c>
      <c r="H40" s="11" t="s">
        <v>199</v>
      </c>
      <c r="I40" s="12">
        <v>46275</v>
      </c>
      <c r="J40" s="12">
        <v>46295</v>
      </c>
      <c r="K40" s="8" t="s">
        <v>151</v>
      </c>
    </row>
    <row r="41" spans="1:11" x14ac:dyDescent="0.35">
      <c r="A41" s="5" t="s">
        <v>41</v>
      </c>
      <c r="B41" s="13" t="s">
        <v>152</v>
      </c>
      <c r="C41" s="13" t="s">
        <v>153</v>
      </c>
      <c r="D41" s="8" t="s">
        <v>154</v>
      </c>
      <c r="E41" s="5">
        <v>1</v>
      </c>
      <c r="F41" s="9"/>
      <c r="G41" s="10" t="str">
        <f t="shared" si="1"/>
        <v/>
      </c>
      <c r="H41" s="11"/>
      <c r="I41" s="12"/>
      <c r="J41" s="12"/>
      <c r="K41" s="8" t="s">
        <v>155</v>
      </c>
    </row>
    <row r="42" spans="1:11" x14ac:dyDescent="0.35">
      <c r="A42" s="5" t="s">
        <v>41</v>
      </c>
      <c r="B42" s="13" t="s">
        <v>152</v>
      </c>
      <c r="C42" s="13" t="s">
        <v>156</v>
      </c>
      <c r="D42" s="8" t="s">
        <v>157</v>
      </c>
      <c r="E42" s="5">
        <v>1</v>
      </c>
      <c r="F42" s="9"/>
      <c r="G42" s="10" t="str">
        <f t="shared" si="1"/>
        <v/>
      </c>
      <c r="H42" s="11"/>
      <c r="I42" s="12"/>
      <c r="J42" s="12"/>
      <c r="K42" s="8" t="s">
        <v>158</v>
      </c>
    </row>
    <row r="43" spans="1:11" x14ac:dyDescent="0.35">
      <c r="A43" s="5" t="s">
        <v>41</v>
      </c>
      <c r="B43" s="13" t="s">
        <v>152</v>
      </c>
      <c r="C43" s="13" t="s">
        <v>159</v>
      </c>
      <c r="D43" s="8" t="s">
        <v>160</v>
      </c>
      <c r="E43" s="5">
        <v>1</v>
      </c>
      <c r="F43" s="9"/>
      <c r="G43" s="10" t="str">
        <f t="shared" si="1"/>
        <v/>
      </c>
      <c r="H43" s="11"/>
      <c r="I43" s="12"/>
      <c r="J43" s="12"/>
      <c r="K43" s="8" t="s">
        <v>161</v>
      </c>
    </row>
    <row r="44" spans="1:11" x14ac:dyDescent="0.35">
      <c r="A44" s="5" t="s">
        <v>41</v>
      </c>
      <c r="B44" s="13" t="s">
        <v>152</v>
      </c>
      <c r="C44" s="13" t="s">
        <v>162</v>
      </c>
      <c r="D44" s="8" t="s">
        <v>163</v>
      </c>
      <c r="E44" s="5">
        <v>1</v>
      </c>
      <c r="F44" s="9"/>
      <c r="G44" s="10" t="str">
        <f t="shared" si="1"/>
        <v/>
      </c>
      <c r="H44" s="11"/>
      <c r="I44" s="12"/>
      <c r="J44" s="12"/>
      <c r="K44" s="8" t="s">
        <v>164</v>
      </c>
    </row>
    <row r="45" spans="1:11" x14ac:dyDescent="0.35">
      <c r="A45" s="5" t="s">
        <v>41</v>
      </c>
      <c r="B45" s="13" t="s">
        <v>152</v>
      </c>
      <c r="C45" s="13" t="s">
        <v>165</v>
      </c>
      <c r="D45" s="8" t="s">
        <v>166</v>
      </c>
      <c r="E45" s="5">
        <v>1</v>
      </c>
      <c r="F45" s="9"/>
      <c r="G45" s="10" t="str">
        <f t="shared" si="1"/>
        <v/>
      </c>
      <c r="H45" s="11"/>
      <c r="I45" s="12"/>
      <c r="J45" s="12"/>
      <c r="K45" s="8" t="s">
        <v>167</v>
      </c>
    </row>
    <row r="46" spans="1:11" x14ac:dyDescent="0.35">
      <c r="A46" s="5" t="s">
        <v>41</v>
      </c>
      <c r="B46" s="13" t="s">
        <v>152</v>
      </c>
      <c r="C46" s="13" t="s">
        <v>168</v>
      </c>
      <c r="D46" s="8" t="s">
        <v>169</v>
      </c>
      <c r="E46" s="5">
        <v>1</v>
      </c>
      <c r="F46" s="9"/>
      <c r="G46" s="10" t="str">
        <f t="shared" si="1"/>
        <v/>
      </c>
      <c r="H46" s="11"/>
      <c r="I46" s="12"/>
      <c r="J46" s="12"/>
      <c r="K46" s="8"/>
    </row>
    <row r="47" spans="1:11" x14ac:dyDescent="0.35">
      <c r="A47" s="5" t="s">
        <v>217</v>
      </c>
      <c r="B47" s="6" t="s">
        <v>170</v>
      </c>
      <c r="C47" s="7" t="s">
        <v>200</v>
      </c>
      <c r="D47" s="8" t="s">
        <v>201</v>
      </c>
      <c r="E47" s="5">
        <v>1</v>
      </c>
      <c r="F47" s="9">
        <v>276.68</v>
      </c>
      <c r="G47" s="10">
        <f t="shared" si="1"/>
        <v>276.68</v>
      </c>
      <c r="H47" s="11" t="s">
        <v>202</v>
      </c>
      <c r="I47" s="12">
        <v>46275</v>
      </c>
      <c r="J47" s="12">
        <v>46293</v>
      </c>
      <c r="K47" s="8" t="s">
        <v>171</v>
      </c>
    </row>
    <row r="48" spans="1:11" x14ac:dyDescent="0.35">
      <c r="A48" s="5" t="s">
        <v>41</v>
      </c>
      <c r="B48" s="6" t="s">
        <v>203</v>
      </c>
      <c r="C48" s="7" t="s">
        <v>204</v>
      </c>
      <c r="D48" s="8" t="s">
        <v>172</v>
      </c>
      <c r="E48" s="5">
        <v>1</v>
      </c>
      <c r="F48" s="9"/>
      <c r="G48" s="10" t="str">
        <f t="shared" si="1"/>
        <v/>
      </c>
      <c r="H48" s="11"/>
      <c r="I48" s="12"/>
      <c r="J48" s="12"/>
      <c r="K48" s="8"/>
    </row>
    <row r="49" spans="1:11" x14ac:dyDescent="0.35">
      <c r="A49" s="5" t="s">
        <v>41</v>
      </c>
      <c r="B49" s="6" t="s">
        <v>170</v>
      </c>
      <c r="C49" s="7" t="s">
        <v>205</v>
      </c>
      <c r="E49" s="5">
        <v>1</v>
      </c>
      <c r="F49" s="9"/>
      <c r="G49" s="10" t="str">
        <f t="shared" si="1"/>
        <v/>
      </c>
      <c r="H49" s="11"/>
      <c r="I49" s="12"/>
      <c r="J49" s="12"/>
      <c r="K49" s="8" t="s">
        <v>173</v>
      </c>
    </row>
    <row r="50" spans="1:11" x14ac:dyDescent="0.35">
      <c r="A50" s="5" t="s">
        <v>217</v>
      </c>
      <c r="B50" s="6" t="s">
        <v>170</v>
      </c>
      <c r="C50" s="7" t="s">
        <v>208</v>
      </c>
      <c r="D50" s="27" t="s">
        <v>209</v>
      </c>
      <c r="E50" s="5">
        <v>1</v>
      </c>
      <c r="F50" s="9">
        <v>9.99</v>
      </c>
      <c r="G50" s="10">
        <f t="shared" si="1"/>
        <v>9.99</v>
      </c>
      <c r="H50" s="11" t="s">
        <v>199</v>
      </c>
      <c r="I50" s="12">
        <v>46275</v>
      </c>
      <c r="J50" s="12">
        <v>46278</v>
      </c>
      <c r="K50" s="8"/>
    </row>
    <row r="51" spans="1:11" x14ac:dyDescent="0.35">
      <c r="A51" s="5" t="s">
        <v>41</v>
      </c>
      <c r="B51" s="13" t="s">
        <v>174</v>
      </c>
      <c r="C51" s="13" t="s">
        <v>110</v>
      </c>
      <c r="D51" s="8" t="s">
        <v>175</v>
      </c>
      <c r="E51" s="5">
        <v>1</v>
      </c>
      <c r="F51" s="9"/>
      <c r="G51" s="10" t="str">
        <f t="shared" si="1"/>
        <v/>
      </c>
      <c r="H51" s="11"/>
      <c r="I51" s="12"/>
      <c r="J51" s="12"/>
      <c r="K51" s="8" t="s">
        <v>176</v>
      </c>
    </row>
    <row r="52" spans="1:11" x14ac:dyDescent="0.35">
      <c r="A52" s="5" t="s">
        <v>41</v>
      </c>
      <c r="B52" s="13" t="s">
        <v>174</v>
      </c>
      <c r="C52" s="13" t="s">
        <v>177</v>
      </c>
      <c r="D52" s="8" t="s">
        <v>178</v>
      </c>
      <c r="E52" s="5">
        <v>1</v>
      </c>
      <c r="F52" s="9"/>
      <c r="G52" s="10" t="str">
        <f t="shared" si="1"/>
        <v/>
      </c>
      <c r="H52" s="11"/>
      <c r="I52" s="12"/>
      <c r="J52" s="12"/>
      <c r="K52" s="8" t="s">
        <v>179</v>
      </c>
    </row>
    <row r="53" spans="1:11" x14ac:dyDescent="0.35">
      <c r="A53" s="5" t="s">
        <v>41</v>
      </c>
      <c r="B53" s="13" t="s">
        <v>174</v>
      </c>
      <c r="C53" s="13" t="s">
        <v>116</v>
      </c>
      <c r="D53" s="8" t="s">
        <v>180</v>
      </c>
      <c r="E53" s="5">
        <v>3</v>
      </c>
      <c r="F53" s="9"/>
      <c r="G53" s="10" t="str">
        <f t="shared" si="1"/>
        <v/>
      </c>
      <c r="H53" s="11"/>
      <c r="I53" s="12"/>
      <c r="J53" s="12"/>
      <c r="K53" s="8" t="s">
        <v>181</v>
      </c>
    </row>
    <row r="54" spans="1:11" x14ac:dyDescent="0.35">
      <c r="A54" s="5" t="s">
        <v>41</v>
      </c>
      <c r="B54" s="13" t="s">
        <v>174</v>
      </c>
      <c r="C54" s="13" t="s">
        <v>182</v>
      </c>
      <c r="D54" s="8" t="s">
        <v>183</v>
      </c>
      <c r="E54" s="5">
        <v>1</v>
      </c>
      <c r="F54" s="9"/>
      <c r="G54" s="10" t="str">
        <f t="shared" si="1"/>
        <v/>
      </c>
      <c r="H54" s="11"/>
      <c r="I54" s="12"/>
      <c r="J54" s="12"/>
      <c r="K54" s="8" t="s">
        <v>184</v>
      </c>
    </row>
    <row r="56" spans="1:11" ht="15.5" x14ac:dyDescent="0.35">
      <c r="C56" s="3" t="s">
        <v>185</v>
      </c>
    </row>
    <row r="57" spans="1:11" x14ac:dyDescent="0.35">
      <c r="C57" s="14" t="s">
        <v>186</v>
      </c>
      <c r="D57" s="15">
        <f>COUNTIF(A2:A54,"Yes")</f>
        <v>12</v>
      </c>
    </row>
    <row r="58" spans="1:11" x14ac:dyDescent="0.35">
      <c r="C58" s="14" t="s">
        <v>187</v>
      </c>
      <c r="D58" s="15">
        <f>COUNTIF(A2:A54,"No")</f>
        <v>41</v>
      </c>
    </row>
    <row r="59" spans="1:11" x14ac:dyDescent="0.35">
      <c r="C59" s="14" t="s">
        <v>188</v>
      </c>
      <c r="D59" s="16">
        <f>SUMIFS(G2:G54,A2:A54,"Yes")</f>
        <v>974.15000000000009</v>
      </c>
    </row>
    <row r="60" spans="1:11" x14ac:dyDescent="0.35">
      <c r="C60" s="14" t="s">
        <v>189</v>
      </c>
      <c r="D60" s="16">
        <f>SUMIFS(G2:G54,A2:A54,"No")</f>
        <v>0</v>
      </c>
    </row>
    <row r="61" spans="1:11" x14ac:dyDescent="0.35">
      <c r="C61" s="17" t="s">
        <v>190</v>
      </c>
      <c r="D61" s="18">
        <f>SUM(G2:G54)</f>
        <v>974.15000000000009</v>
      </c>
    </row>
    <row r="62" spans="1:11" x14ac:dyDescent="0.35">
      <c r="C62" s="17" t="s">
        <v>191</v>
      </c>
      <c r="D62" s="19">
        <f>COUNTBLANK(F2:F54)</f>
        <v>41</v>
      </c>
    </row>
  </sheetData>
  <autoFilter ref="A1:K54" xr:uid="{00000000-0009-0000-0000-000001000000}"/>
  <conditionalFormatting sqref="A2:K26 A27:C27 E27:K27 A28:K43 A44:F47 G44:K54 A48:C50 E48:F50 D50 A51:F54">
    <cfRule type="expression" dxfId="1" priority="2">
      <formula>$A2="Yes"</formula>
    </cfRule>
  </conditionalFormatting>
  <conditionalFormatting sqref="D48">
    <cfRule type="expression" dxfId="0" priority="4">
      <formula>$A49="Yes"</formula>
    </cfRule>
  </conditionalFormatting>
  <dataValidations count="1">
    <dataValidation type="list" sqref="A2:A54" xr:uid="{00000000-0002-0000-0100-000000000000}">
      <formula1>"No,Yes"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9" customWidth="1"/>
    <col min="3" max="3" width="12" customWidth="1"/>
    <col min="4" max="4" width="15" customWidth="1"/>
    <col min="5" max="5" width="14" customWidth="1"/>
  </cols>
  <sheetData>
    <row r="1" spans="1:5" x14ac:dyDescent="0.35">
      <c r="A1" s="20" t="s">
        <v>31</v>
      </c>
      <c r="B1" s="20" t="s">
        <v>192</v>
      </c>
      <c r="C1" s="20" t="s">
        <v>193</v>
      </c>
      <c r="D1" s="20" t="s">
        <v>194</v>
      </c>
      <c r="E1" s="20" t="s">
        <v>195</v>
      </c>
    </row>
    <row r="2" spans="1:5" x14ac:dyDescent="0.35">
      <c r="A2" s="21" t="s">
        <v>42</v>
      </c>
      <c r="B2" s="21">
        <f>COUNTIF(Items!$B$2:$B$54,$A2)</f>
        <v>15</v>
      </c>
      <c r="C2" s="21">
        <f>COUNTIFS(Items!$B$2:$B$54,$A2,Items!$A$2:$A$54,"Yes")</f>
        <v>6</v>
      </c>
      <c r="D2" s="22">
        <f>SUMIFS(Items!$G$2:$G$54,Items!$B$2:$B$54,$A2)</f>
        <v>147.1</v>
      </c>
      <c r="E2" s="22">
        <f>SUMIFS(Items!$G$2:$G$54,Items!$B$2:$B$54,$A2,Items!$A$2:$A$54,"Yes")</f>
        <v>147.1</v>
      </c>
    </row>
    <row r="3" spans="1:5" x14ac:dyDescent="0.35">
      <c r="A3" s="21" t="s">
        <v>84</v>
      </c>
      <c r="B3" s="21">
        <f>COUNTIF(Items!$B$2:$B$54,$A3)</f>
        <v>7</v>
      </c>
      <c r="C3" s="21">
        <f>COUNTIFS(Items!$B$2:$B$54,$A3,Items!$A$2:$A$54,"Yes")</f>
        <v>0</v>
      </c>
      <c r="D3" s="22">
        <f>SUMIFS(Items!$G$2:$G$54,Items!$B$2:$B$54,$A3)</f>
        <v>0</v>
      </c>
      <c r="E3" s="22">
        <f>SUMIFS(Items!$G$2:$G$54,Items!$B$2:$B$54,$A3,Items!$A$2:$A$54,"Yes")</f>
        <v>0</v>
      </c>
    </row>
    <row r="4" spans="1:5" x14ac:dyDescent="0.35">
      <c r="A4" s="21" t="s">
        <v>106</v>
      </c>
      <c r="B4" s="21">
        <f>COUNTIF(Items!$B$2:$B$54,$A4)</f>
        <v>8</v>
      </c>
      <c r="C4" s="21">
        <f>COUNTIFS(Items!$B$2:$B$54,$A4,Items!$A$2:$A$54,"Yes")</f>
        <v>2</v>
      </c>
      <c r="D4" s="22">
        <f>SUMIFS(Items!$G$2:$G$54,Items!$B$2:$B$54,$A4)</f>
        <v>218.4</v>
      </c>
      <c r="E4" s="22">
        <f>SUMIFS(Items!$G$2:$G$54,Items!$B$2:$B$54,$A4,Items!$A$2:$A$54,"Yes")</f>
        <v>218.4</v>
      </c>
    </row>
    <row r="5" spans="1:5" x14ac:dyDescent="0.35">
      <c r="A5" s="21" t="s">
        <v>127</v>
      </c>
      <c r="B5" s="21">
        <f>COUNTIF(Items!$B$2:$B$54,$A5)</f>
        <v>9</v>
      </c>
      <c r="C5" s="21">
        <f>COUNTIFS(Items!$B$2:$B$54,$A5,Items!$A$2:$A$54,"Yes")</f>
        <v>2</v>
      </c>
      <c r="D5" s="22">
        <f>SUMIFS(Items!$G$2:$G$54,Items!$B$2:$B$54,$A5)</f>
        <v>321.98</v>
      </c>
      <c r="E5" s="22">
        <f>SUMIFS(Items!$G$2:$G$54,Items!$B$2:$B$54,$A5,Items!$A$2:$A$54,"Yes")</f>
        <v>321.98</v>
      </c>
    </row>
    <row r="6" spans="1:5" x14ac:dyDescent="0.35">
      <c r="A6" s="21" t="s">
        <v>152</v>
      </c>
      <c r="B6" s="21">
        <f>COUNTIF(Items!$B$2:$B$54,$A6)</f>
        <v>6</v>
      </c>
      <c r="C6" s="21">
        <f>COUNTIFS(Items!$B$2:$B$54,$A6,Items!$A$2:$A$54,"Yes")</f>
        <v>0</v>
      </c>
      <c r="D6" s="22">
        <f>SUMIFS(Items!$G$2:$G$54,Items!$B$2:$B$54,$A6)</f>
        <v>0</v>
      </c>
      <c r="E6" s="22">
        <f>SUMIFS(Items!$G$2:$G$54,Items!$B$2:$B$54,$A6,Items!$A$2:$A$54,"Yes")</f>
        <v>0</v>
      </c>
    </row>
    <row r="7" spans="1:5" x14ac:dyDescent="0.35">
      <c r="A7" s="21" t="s">
        <v>170</v>
      </c>
      <c r="B7" s="21">
        <f>COUNTIF(Items!$B$2:$B$54,$A7)</f>
        <v>3</v>
      </c>
      <c r="C7" s="21">
        <f>COUNTIFS(Items!$B$2:$B$54,$A7,Items!$A$2:$A$54,"Yes")</f>
        <v>2</v>
      </c>
      <c r="D7" s="22">
        <f>SUMIFS(Items!$G$2:$G$54,Items!$B$2:$B$54,$A7)</f>
        <v>286.67</v>
      </c>
      <c r="E7" s="22">
        <f>SUMIFS(Items!$G$2:$G$54,Items!$B$2:$B$54,$A7,Items!$A$2:$A$54,"Yes")</f>
        <v>286.67</v>
      </c>
    </row>
    <row r="8" spans="1:5" x14ac:dyDescent="0.35">
      <c r="A8" s="21" t="s">
        <v>174</v>
      </c>
      <c r="B8" s="21">
        <f>COUNTIF(Items!$B$2:$B$54,$A8)</f>
        <v>4</v>
      </c>
      <c r="C8" s="21">
        <f>COUNTIFS(Items!$B$2:$B$54,$A8,Items!$A$2:$A$54,"Yes")</f>
        <v>0</v>
      </c>
      <c r="D8" s="22">
        <f>SUMIFS(Items!$G$2:$G$54,Items!$B$2:$B$54,$A8)</f>
        <v>0</v>
      </c>
      <c r="E8" s="22">
        <f>SUMIFS(Items!$G$2:$G$54,Items!$B$2:$B$54,$A8,Items!$A$2:$A$54,"Yes")</f>
        <v>0</v>
      </c>
    </row>
    <row r="9" spans="1:5" x14ac:dyDescent="0.35">
      <c r="A9" s="23" t="s">
        <v>196</v>
      </c>
      <c r="B9" s="24">
        <f>SUM(B2:B8)</f>
        <v>52</v>
      </c>
      <c r="C9" s="24">
        <f>SUM(C2:C8)</f>
        <v>12</v>
      </c>
      <c r="D9" s="25">
        <f>SUM(D2:D8)</f>
        <v>974.15000000000009</v>
      </c>
      <c r="E9" s="25">
        <f>SUM(E2:E8)</f>
        <v>974.15000000000009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Items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Chen, Mason Andrew</cp:lastModifiedBy>
  <cp:revision>0</cp:revision>
  <dcterms:created xsi:type="dcterms:W3CDTF">2026-09-10T22:46:43Z</dcterms:created>
  <dcterms:modified xsi:type="dcterms:W3CDTF">2026-10-03T20:53:07Z</dcterms:modified>
  <dc:language>en-US</dc:language>
</cp:coreProperties>
</file>
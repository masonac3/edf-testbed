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tems" sheetId="2" state="visible" r:id="rId4"/>
    <sheet name="By Group" sheetId="3" state="visible" r:id="rId5"/>
  </sheets>
  <definedNames>
    <definedName function="false" hidden="true" localSheetId="1" name="_xlnm._FilterDatabase" vbProcedure="false">Items!$A$1:$K$52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<sst xmlns="http://schemas.openxmlformats.org/spreadsheetml/2006/main" count="316" uniqueCount="210">
  <si>
    <t xml:space="preserve">Chin-Inlet EDF UAV Testbed - Purchasing Tracker</t>
  </si>
  <si>
    <t xml:space="preserve">HOW TO USE</t>
  </si>
  <si>
    <t xml:space="preserve">Fill in only the shaded yellow cells: Unit Price, Vendor, Order Date, Received.</t>
  </si>
  <si>
    <t xml:space="preserve">Line Total, and everything on the By Group tab, calculates itself.</t>
  </si>
  <si>
    <t xml:space="preserve">Set the Buy column to Yes once an item is ordered. The row turns green and</t>
  </si>
  <si>
    <t xml:space="preserve">the totals at the bottom of the Items tab update.</t>
  </si>
  <si>
    <t xml:space="preserve">Prices are deliberately left blank - fill in what you actually pay, including</t>
  </si>
  <si>
    <t xml:space="preserve">shipping and tax, so the totals reflect real spend rather than estimates.</t>
  </si>
  <si>
    <t xml:space="preserve">GROUPS</t>
  </si>
  <si>
    <t xml:space="preserve">A  - Test stand and instrumentation. Needed for Phase 1.</t>
  </si>
  <si>
    <t xml:space="preserve">A2 - Pressure rake hardware. DEFERRED to Phase 3, months out.</t>
  </si>
  <si>
    <t xml:space="preserve">B  - Propulsion. Needed for Phases 1-2.</t>
  </si>
  <si>
    <t xml:space="preserve">C  - Airframe electronics. Needed for Phase 5.</t>
  </si>
  <si>
    <t xml:space="preserve">D  - Materials and consumables. Phase 2 onward.</t>
  </si>
  <si>
    <t xml:space="preserve">E  - Phase 0 proficiency trainer. Needed FIRST.</t>
  </si>
  <si>
    <t xml:space="preserve">F  - 12S upgrade. Only after Phase 5 flight data.</t>
  </si>
  <si>
    <t xml:space="preserve">WAVE 1 - buy now</t>
  </si>
  <si>
    <t xml:space="preserve">Rows with a bold item name and a green Group cell are Wave 1.</t>
  </si>
  <si>
    <t xml:space="preserve">Filter the Group column to A - Test stand and E - Trainer to see them.</t>
  </si>
  <si>
    <t xml:space="preserve">Order the trainer today. Phase 0 needs 20 flights and decent weather, and</t>
  </si>
  <si>
    <t xml:space="preserve">Illinois winter is the real schedule constraint - not part lead times.</t>
  </si>
  <si>
    <t xml:space="preserve">Order the Schubeler fan early in Wave 2. European shipping runs several</t>
  </si>
  <si>
    <t xml:space="preserve">weeks and Phase 2 cannot start without it.</t>
  </si>
  <si>
    <t xml:space="preserve">CHECK BEFORE BUYING</t>
  </si>
  <si>
    <t xml:space="preserve">Soldering iron: borrow before buying.</t>
  </si>
  <si>
    <t xml:space="preserve">Solder, heat shrink, hookup wire, breadboard: try the ECE Supply Center or</t>
  </si>
  <si>
    <t xml:space="preserve">the JIS storeroom in the Sidney Lu basement before ordering online.</t>
  </si>
  <si>
    <t xml:space="preserve">Optical tachometer: check whether the Hobbywing Platinum V4 already gives</t>
  </si>
  <si>
    <t xml:space="preserve">RPM telemetry. If it does, skip it.</t>
  </si>
  <si>
    <t xml:space="preserve">Bench power supply: try batteries with watt logging first. If Phase 1 hits</t>
  </si>
  <si>
    <t xml:space="preserve">+/-2% repeatability without it, you never needed it.</t>
  </si>
  <si>
    <t xml:space="preserve">Buy</t>
  </si>
  <si>
    <t xml:space="preserve">Group</t>
  </si>
  <si>
    <t xml:space="preserve">Item</t>
  </si>
  <si>
    <t xml:space="preserve">Specifics</t>
  </si>
  <si>
    <t xml:space="preserve">Qty</t>
  </si>
  <si>
    <t xml:space="preserve">Unit Price</t>
  </si>
  <si>
    <t xml:space="preserve">Line Total</t>
  </si>
  <si>
    <t xml:space="preserve">Vendor</t>
  </si>
  <si>
    <t xml:space="preserve">Order Date</t>
  </si>
  <si>
    <t xml:space="preserve">Received</t>
  </si>
  <si>
    <t xml:space="preserve">Notes</t>
  </si>
  <si>
    <t xml:space="preserve">No</t>
  </si>
  <si>
    <t xml:space="preserve">A - Test stand</t>
  </si>
  <si>
    <t xml:space="preserve">Load cell</t>
  </si>
  <si>
    <t xml:space="preserve">10 kg straight bar, 4-wire full bridge</t>
  </si>
  <si>
    <t xml:space="preserve">Usually sold bundled with HX711</t>
  </si>
  <si>
    <t xml:space="preserve">HX711 breakout</t>
  </si>
  <si>
    <t xml:space="preserve">24-bit ADC for load cell, run at 80 SPS</t>
  </si>
  <si>
    <t xml:space="preserve">Often included in the load cell kit</t>
  </si>
  <si>
    <t xml:space="preserve">Arduino Nano</t>
  </si>
  <si>
    <t xml:space="preserve">ATmega328P, USB-C or mini-B; clone is fine</t>
  </si>
  <si>
    <t xml:space="preserve">Second board is a spare</t>
  </si>
  <si>
    <t xml:space="preserve">INA226 module</t>
  </si>
  <si>
    <t xml:space="preserve">I2C current + voltage sensor, w/ shunt</t>
  </si>
  <si>
    <t xml:space="preserve">Logs electrical power</t>
  </si>
  <si>
    <t xml:space="preserve">Digital multimeter</t>
  </si>
  <si>
    <t xml:space="preserve">Continuity, DC volts, mV range, resistance</t>
  </si>
  <si>
    <t xml:space="preserve">Own this one, don't borrow</t>
  </si>
  <si>
    <t xml:space="preserve">Calibration mass set</t>
  </si>
  <si>
    <t xml:space="preserve">100 g / 200 g / 500 g / 1 kg, +/-1% or better</t>
  </si>
  <si>
    <t xml:space="preserve">Accuracy floor for all thrust data</t>
  </si>
  <si>
    <t xml:space="preserve">Thermo-hygrometer</t>
  </si>
  <si>
    <t xml:space="preserve">Digital, temperature + relative humidity</t>
  </si>
  <si>
    <t xml:space="preserve">Sits at the stand, not a phone app</t>
  </si>
  <si>
    <t xml:space="preserve">C-clamps</t>
  </si>
  <si>
    <t xml:space="preserve">4-6 inch throat</t>
  </si>
  <si>
    <t xml:space="preserve">Clamps baseplate to table</t>
  </si>
  <si>
    <t xml:space="preserve">Solder</t>
  </si>
  <si>
    <t xml:space="preserve">Rosin core, 0.8 mm, 60/40 or lead-free</t>
  </si>
  <si>
    <t xml:space="preserve">Try ECE Supply Center first</t>
  </si>
  <si>
    <t xml:space="preserve">Heat shrink assortment</t>
  </si>
  <si>
    <t xml:space="preserve">1-6 mm diameters</t>
  </si>
  <si>
    <t xml:space="preserve">Hookup wire</t>
  </si>
  <si>
    <t xml:space="preserve">22 AWG stranded, multiple colors</t>
  </si>
  <si>
    <t xml:space="preserve">Breadboard + jumper kit</t>
  </si>
  <si>
    <t xml:space="preserve">830-point board, M-M and M-F jumpers</t>
  </si>
  <si>
    <t xml:space="preserve">Prototype before soldering</t>
  </si>
  <si>
    <t xml:space="preserve">Plywood</t>
  </si>
  <si>
    <t xml:space="preserve">3/4 inch, approx 400 x 250 mm offcut</t>
  </si>
  <si>
    <t xml:space="preserve">Baseplate; stiffness matters</t>
  </si>
  <si>
    <t xml:space="preserve">Screws / standoffs / spacers</t>
  </si>
  <si>
    <t xml:space="preserve">M3 and M4 assortment, nylon + steel</t>
  </si>
  <si>
    <t xml:space="preserve">Spacers create the load cell air gap</t>
  </si>
  <si>
    <t xml:space="preserve">Soldering iron + station</t>
  </si>
  <si>
    <t xml:space="preserve">Temperature controlled, 60W</t>
  </si>
  <si>
    <t xml:space="preserve">BORROW FIRST - only buy if shop hours block you</t>
  </si>
  <si>
    <t xml:space="preserve">A2 - Rake (Phase 3)</t>
  </si>
  <si>
    <t xml:space="preserve">Sensirion SDP810-500Pa</t>
  </si>
  <si>
    <t xml:space="preserve">+/-500 Pa differential, I2C, sub-Pa resolution</t>
  </si>
  <si>
    <t xml:space="preserve">NOT MPXV7002DP - too coarse for 150-400 Pa signals</t>
  </si>
  <si>
    <t xml:space="preserve">Pneumatic solenoid valve</t>
  </si>
  <si>
    <t xml:space="preserve">3-way, 12 V, small port</t>
  </si>
  <si>
    <t xml:space="preserve">Multiplexes 8 tubes into 1 sensor</t>
  </si>
  <si>
    <t xml:space="preserve">MOSFET driver board</t>
  </si>
  <si>
    <t xml:space="preserve">ULN2803 array or logic-level discretes</t>
  </si>
  <si>
    <t xml:space="preserve">Arduino drives the solenoids</t>
  </si>
  <si>
    <t xml:space="preserve">Silicone tubing</t>
  </si>
  <si>
    <t xml:space="preserve">2 mm ID, 5 m</t>
  </si>
  <si>
    <t xml:space="preserve">Cut all runs to EQUAL length</t>
  </si>
  <si>
    <t xml:space="preserve">Hypodermic tubing</t>
  </si>
  <si>
    <t xml:space="preserve">19 gauge, 1 m, square-cut ends</t>
  </si>
  <si>
    <t xml:space="preserve">Rake probe tips</t>
  </si>
  <si>
    <t xml:space="preserve">Optical tachometer</t>
  </si>
  <si>
    <t xml:space="preserve">Non-contact, to 99,999 rpm</t>
  </si>
  <si>
    <t xml:space="preserve">SKIP if Hobbywing V4 gives RPM telemetry</t>
  </si>
  <si>
    <t xml:space="preserve">Bench power supply</t>
  </si>
  <si>
    <t xml:space="preserve">24 V, 30 A adjustable</t>
  </si>
  <si>
    <t xml:space="preserve">DEFERRED - try batteries + watt logging first</t>
  </si>
  <si>
    <t xml:space="preserve">B - Propulsion</t>
  </si>
  <si>
    <t xml:space="preserve">Schubeler DS-30-AXI HDS</t>
  </si>
  <si>
    <t xml:space="preserve">70 mm fan unit, HDS rotor, alloy stator</t>
  </si>
  <si>
    <t xml:space="preserve">Order early - EU shipping is the long pole</t>
  </si>
  <si>
    <t xml:space="preserve">Schubeler DSM inrunner motor</t>
  </si>
  <si>
    <t xml:space="preserve">6S rated - confirm Kv with vendor for DS-30</t>
  </si>
  <si>
    <t xml:space="preserve">Same housing takes a 12S motor later</t>
  </si>
  <si>
    <t xml:space="preserve">Hobbywing Platinum 120A V4</t>
  </si>
  <si>
    <t xml:space="preserve">6S ESC, 120 A continuous</t>
  </si>
  <si>
    <t xml:space="preserve">Mount in duct airflow</t>
  </si>
  <si>
    <t xml:space="preserve">LiPo pack</t>
  </si>
  <si>
    <t xml:space="preserve">6S 3300 mAh, 70C or higher</t>
  </si>
  <si>
    <t xml:space="preserve">Two in series = 12S later</t>
  </si>
  <si>
    <t xml:space="preserve">Balance charger</t>
  </si>
  <si>
    <t xml:space="preserve">200 W minimum, 6S capable</t>
  </si>
  <si>
    <t xml:space="preserve">2C charging keeps test days moving</t>
  </si>
  <si>
    <t xml:space="preserve">XT90 connector set</t>
  </si>
  <si>
    <t xml:space="preserve">Male + female pairs, main power</t>
  </si>
  <si>
    <t xml:space="preserve">XT90 rated 90 A</t>
  </si>
  <si>
    <t xml:space="preserve">Silicone wire</t>
  </si>
  <si>
    <t xml:space="preserve">10 AWG, 3 m, red and black</t>
  </si>
  <si>
    <t xml:space="preserve">Sized for 100 A continuous</t>
  </si>
  <si>
    <t xml:space="preserve">Low-ESR capacitors</t>
  </si>
  <si>
    <t xml:space="preserve">35 V, 470-1000 uF, on ESC leads</t>
  </si>
  <si>
    <t xml:space="preserve">Absorbs switching spikes from long leads</t>
  </si>
  <si>
    <t xml:space="preserve">C - Airframe</t>
  </si>
  <si>
    <t xml:space="preserve">Matek F405-WING</t>
  </si>
  <si>
    <t xml:space="preserve">ArduPlane capable FC, onboard flash logging</t>
  </si>
  <si>
    <t xml:space="preserve">Used in manual passthrough as a logger</t>
  </si>
  <si>
    <t xml:space="preserve">DLVR-L10D airspeed sensor</t>
  </si>
  <si>
    <t xml:space="preserve">Differential, low thermal drift, + pitot probe</t>
  </si>
  <si>
    <t xml:space="preserve">Preferred over MS4525DO</t>
  </si>
  <si>
    <t xml:space="preserve">GPS / compass module</t>
  </si>
  <si>
    <t xml:space="preserve">M8N or newer</t>
  </si>
  <si>
    <t xml:space="preserve">Ground speed for wind correction</t>
  </si>
  <si>
    <t xml:space="preserve">KST X10 servo</t>
  </si>
  <si>
    <t xml:space="preserve">Digital, metal gear, thin wing form factor</t>
  </si>
  <si>
    <t xml:space="preserve">MKS equivalent also fine</t>
  </si>
  <si>
    <t xml:space="preserve">JP Hobby retract set</t>
  </si>
  <si>
    <t xml:space="preserve">70 mm class, 3 units, alloy oleo struts</t>
  </si>
  <si>
    <t xml:space="preserve">Not nylon struts</t>
  </si>
  <si>
    <t xml:space="preserve">Retract sequencer</t>
  </si>
  <si>
    <t xml:space="preserve">Electronic, 3 channel</t>
  </si>
  <si>
    <t xml:space="preserve">Skip if integrated in retract set</t>
  </si>
  <si>
    <t xml:space="preserve">Switching BEC</t>
  </si>
  <si>
    <t xml:space="preserve">8 A, 5-6 V output</t>
  </si>
  <si>
    <t xml:space="preserve">Separate from ESC linear BEC</t>
  </si>
  <si>
    <t xml:space="preserve">ELRS receiver</t>
  </si>
  <si>
    <t xml:space="preserve">Full range, 2.4 GHz</t>
  </si>
  <si>
    <t xml:space="preserve">One spare - lost link at speed is total loss</t>
  </si>
  <si>
    <t xml:space="preserve">RadioMaster TX16S MKII</t>
  </si>
  <si>
    <t xml:space="preserve">ELRS internal module</t>
  </si>
  <si>
    <t xml:space="preserve">Skip if you already own a transmitter</t>
  </si>
  <si>
    <t xml:space="preserve">D - Materials</t>
  </si>
  <si>
    <t xml:space="preserve">LW-PLA filament</t>
  </si>
  <si>
    <t xml:space="preserve">Foaming lightweight PLA, 3 kg</t>
  </si>
  <si>
    <t xml:space="preserve">Airframe shells and wing skins</t>
  </si>
  <si>
    <t xml:space="preserve">PETG or ASA filament</t>
  </si>
  <si>
    <t xml:space="preserve">1 kg</t>
  </si>
  <si>
    <t xml:space="preserve">Duct, nozzles, thrust tube, motor-adjacent</t>
  </si>
  <si>
    <t xml:space="preserve">PA-CF filament</t>
  </si>
  <si>
    <t xml:space="preserve">Carbon-filled nylon, 0.5 kg</t>
  </si>
  <si>
    <t xml:space="preserve">Gear mounts and hardpoints</t>
  </si>
  <si>
    <t xml:space="preserve">Carbon tube spars</t>
  </si>
  <si>
    <t xml:space="preserve">Pultruded, assorted diameters</t>
  </si>
  <si>
    <t xml:space="preserve">Carries wing bending, not printed structure</t>
  </si>
  <si>
    <t xml:space="preserve">Epoxy + filler primer + sandpaper</t>
  </si>
  <si>
    <t xml:space="preserve">Laminating epoxy, 400-1000 grit</t>
  </si>
  <si>
    <t xml:space="preserve">Duct interior finish converts to thrust</t>
  </si>
  <si>
    <t xml:space="preserve">Plywood / hardware / hinges / pushrods</t>
  </si>
  <si>
    <t xml:space="preserve">Airframe misc</t>
  </si>
  <si>
    <t xml:space="preserve">E - Trainer</t>
  </si>
  <si>
    <t xml:space="preserve">Foam EDF jet, PNP</t>
  </si>
  <si>
    <t xml:space="preserve">64-70 mm, buy used if possible</t>
  </si>
  <si>
    <t xml:space="preserve">ORDER FIRST - weather is the schedule driver</t>
  </si>
  <si>
    <t xml:space="preserve">Foam-safe CA + spare parts</t>
  </si>
  <si>
    <t xml:space="preserve">Odorless CA, activator, spare canopy/gear</t>
  </si>
  <si>
    <t xml:space="preserve">It will get repaired</t>
  </si>
  <si>
    <t xml:space="preserve">F - 12S upgrade</t>
  </si>
  <si>
    <t xml:space="preserve">12S rated, fits same DS-30 housing</t>
  </si>
  <si>
    <t xml:space="preserve">Only after Phase 5 confirms airframe</t>
  </si>
  <si>
    <t xml:space="preserve">Castle Phoenix Edge HV 120</t>
  </si>
  <si>
    <t xml:space="preserve">HV-rated ESC, 12S capable</t>
  </si>
  <si>
    <t xml:space="preserve">6S ESC on 12S destroys it instantly</t>
  </si>
  <si>
    <t xml:space="preserve">6S 3300 mAh 70C, series pairs</t>
  </si>
  <si>
    <t xml:space="preserve">Pairs with existing packs for 12S</t>
  </si>
  <si>
    <t xml:space="preserve">AS150 anti-spark connector set</t>
  </si>
  <si>
    <t xml:space="preserve">12S main power</t>
  </si>
  <si>
    <t xml:space="preserve">Anti-spark required at 12S inrush</t>
  </si>
  <si>
    <t xml:space="preserve">TOTALS</t>
  </si>
  <si>
    <t xml:space="preserve">Items purchased</t>
  </si>
  <si>
    <t xml:space="preserve">Items remaining</t>
  </si>
  <si>
    <t xml:space="preserve">Spent so far</t>
  </si>
  <si>
    <t xml:space="preserve">Still to buy (priced)</t>
  </si>
  <si>
    <t xml:space="preserve">Grand total (priced)</t>
  </si>
  <si>
    <t xml:space="preserve">Rows still unpriced</t>
  </si>
  <si>
    <t xml:space="preserve">Items</t>
  </si>
  <si>
    <t xml:space="preserve">Purchased</t>
  </si>
  <si>
    <t xml:space="preserve">Group Total</t>
  </si>
  <si>
    <t xml:space="preserve">Spent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</si>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</sst>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yyyy\-mm\-dd"/>
    <numFmt numFmtId="167" formatCode="0"/>
    <numFmt numFmtId="168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5F0D5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FCC"/>
          <bgColor rgb="FF000000"/>
        </patternFill>
      </fill>
    </dxf>
    <dxf>
      <fill>
        <patternFill>
          <bgColor rgb="FFD5F0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E2EF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0D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2" t="s">
        <v>6</v>
      </c>
    </row>
    <row r="11" customFormat="false" ht="15" hidden="false" customHeight="false" outlineLevel="0" collapsed="false">
      <c r="A11" s="2" t="s">
        <v>7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3" t="s">
        <v>8</v>
      </c>
    </row>
    <row r="14" customFormat="false" ht="15" hidden="false" customHeight="false" outlineLevel="0" collapsed="false">
      <c r="A14" s="2" t="s">
        <v>9</v>
      </c>
    </row>
    <row r="15" customFormat="false" ht="15" hidden="false" customHeight="false" outlineLevel="0" collapsed="false">
      <c r="A15" s="2" t="s">
        <v>10</v>
      </c>
    </row>
    <row r="16" customFormat="false" ht="15" hidden="false" customHeight="false" outlineLevel="0" collapsed="false">
      <c r="A16" s="2" t="s">
        <v>11</v>
      </c>
    </row>
    <row r="17" customFormat="false" ht="15" hidden="false" customHeight="false" outlineLevel="0" collapsed="false">
      <c r="A17" s="2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/>
    </row>
    <row r="22" customFormat="false" ht="15" hidden="false" customHeight="false" outlineLevel="0" collapsed="false">
      <c r="A22" s="3" t="s">
        <v>16</v>
      </c>
    </row>
    <row r="23" customFormat="false" ht="15" hidden="false" customHeight="false" outlineLevel="0" collapsed="false">
      <c r="A23" s="2" t="s">
        <v>17</v>
      </c>
    </row>
    <row r="24" customFormat="false" ht="15" hidden="false" customHeight="false" outlineLevel="0" collapsed="false">
      <c r="A24" s="2" t="s">
        <v>18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2" t="s">
        <v>19</v>
      </c>
    </row>
    <row r="27" customFormat="false" ht="15" hidden="false" customHeight="false" outlineLevel="0" collapsed="false">
      <c r="A27" s="2" t="s">
        <v>20</v>
      </c>
    </row>
    <row r="28" customFormat="false" ht="15" hidden="false" customHeight="false" outlineLevel="0" collapsed="false">
      <c r="A28" s="2"/>
    </row>
    <row r="29" customFormat="false" ht="15" hidden="false" customHeight="false" outlineLevel="0" collapsed="false">
      <c r="A29" s="2" t="s">
        <v>21</v>
      </c>
    </row>
    <row r="30" customFormat="false" ht="15" hidden="false" customHeight="false" outlineLevel="0" collapsed="false">
      <c r="A30" s="2" t="s">
        <v>22</v>
      </c>
    </row>
    <row r="31" customFormat="false" ht="15" hidden="false" customHeight="false" outlineLevel="0" collapsed="false">
      <c r="A31" s="2"/>
    </row>
    <row r="32" customFormat="false" ht="15" hidden="false" customHeight="false" outlineLevel="0" collapsed="false">
      <c r="A32" s="3" t="s">
        <v>23</v>
      </c>
    </row>
    <row r="33" customFormat="false" ht="15" hidden="false" customHeight="false" outlineLevel="0" collapsed="false">
      <c r="A33" s="2" t="s">
        <v>24</v>
      </c>
    </row>
    <row r="34" customFormat="false" ht="15" hidden="false" customHeight="false" outlineLevel="0" collapsed="false">
      <c r="A34" s="2" t="s">
        <v>25</v>
      </c>
    </row>
    <row r="35" customFormat="false" ht="15" hidden="false" customHeight="false" outlineLevel="0" collapsed="false">
      <c r="A35" s="2" t="s">
        <v>26</v>
      </c>
    </row>
    <row r="36" customFormat="false" ht="15" hidden="false" customHeight="false" outlineLevel="0" collapsed="false">
      <c r="A36" s="2" t="s">
        <v>27</v>
      </c>
    </row>
    <row r="37" customFormat="false" ht="15" hidden="false" customHeight="false" outlineLevel="0" collapsed="false">
      <c r="A37" s="2" t="s">
        <v>28</v>
      </c>
    </row>
    <row r="38" customFormat="false" ht="15" hidden="false" customHeight="false" outlineLevel="0" collapsed="false">
      <c r="A38" s="2" t="s">
        <v>29</v>
      </c>
    </row>
    <row r="39" customFormat="false" ht="15" hidden="false" customHeight="false" outlineLevel="0" collapsed="false">
      <c r="A39" s="2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27"/>
    <col collapsed="false" customWidth="true" hidden="false" outlineLevel="0" max="4" min="4" style="0" width="46"/>
    <col collapsed="false" customWidth="true" hidden="false" outlineLevel="0" max="5" min="5" style="0" width="6"/>
    <col collapsed="false" customWidth="true" hidden="false" outlineLevel="0" max="7" min="6" style="0" width="12"/>
    <col collapsed="false" customWidth="true" hidden="false" outlineLevel="0" max="8" min="8" style="0" width="18"/>
    <col collapsed="false" customWidth="true" hidden="false" outlineLevel="0" max="10" min="9" style="0" width="13"/>
    <col collapsed="false" customWidth="true" hidden="false" outlineLevel="0" max="11" min="11" style="0" width="42"/>
  </cols>
  <sheetData>
    <row r="1" customFormat="false" ht="15" hidden="false" customHeight="false" outlineLevel="0" collapsed="false">
      <c r="A1" s="4" t="s">
        <v>31</v>
      </c>
      <c r="B1" s="4" t="s">
        <v>32</v>
      </c>
      <c r="C1" s="4" t="s">
        <v>33</v>
      </c>
      <c r="D1" s="4" t="s">
        <v>34</v>
      </c>
      <c r="E1" s="4" t="s">
        <v>35</v>
      </c>
      <c r="F1" s="4" t="s">
        <v>36</v>
      </c>
      <c r="G1" s="4" t="s">
        <v>37</v>
      </c>
      <c r="H1" s="4" t="s">
        <v>38</v>
      </c>
      <c r="I1" s="4" t="s">
        <v>39</v>
      </c>
      <c r="J1" s="4" t="s">
        <v>40</v>
      </c>
      <c r="K1" s="4" t="s">
        <v>41</v>
      </c>
    </row>
    <row r="2" customFormat="false" ht="15" hidden="false" customHeight="false" outlineLevel="0" collapsed="false">
      <c r="A2" s="5" t="s">
        <v>42</v>
      </c>
      <c r="B2" s="6" t="s">
        <v>43</v>
      </c>
      <c r="C2" s="7" t="s">
        <v>44</v>
      </c>
      <c r="D2" s="8" t="s">
        <v>45</v>
      </c>
      <c r="E2" s="5" t="n">
        <v>1</v>
      </c>
      <c r="F2" s="9"/>
      <c r="G2" s="10" t="str">
        <f aca="false">IF(F2="","",E2*F2)</f>
        <v/>
      </c>
      <c r="H2" s="11"/>
      <c r="I2" s="12"/>
      <c r="J2" s="12"/>
      <c r="K2" s="8" t="s">
        <v>46</v>
      </c>
    </row>
    <row r="3" customFormat="false" ht="15" hidden="false" customHeight="false" outlineLevel="0" collapsed="false">
      <c r="A3" s="5" t="s">
        <v>42</v>
      </c>
      <c r="B3" s="6" t="s">
        <v>43</v>
      </c>
      <c r="C3" s="7" t="s">
        <v>47</v>
      </c>
      <c r="D3" s="8" t="s">
        <v>48</v>
      </c>
      <c r="E3" s="5" t="n">
        <v>1</v>
      </c>
      <c r="F3" s="9"/>
      <c r="G3" s="10" t="str">
        <f aca="false">IF(F3="","",E3*F3)</f>
        <v/>
      </c>
      <c r="H3" s="11"/>
      <c r="I3" s="12"/>
      <c r="J3" s="12"/>
      <c r="K3" s="8" t="s">
        <v>49</v>
      </c>
    </row>
    <row r="4" customFormat="false" ht="15" hidden="false" customHeight="false" outlineLevel="0" collapsed="false">
      <c r="A4" s="5" t="s">
        <v>42</v>
      </c>
      <c r="B4" s="6" t="s">
        <v>43</v>
      </c>
      <c r="C4" s="7" t="s">
        <v>50</v>
      </c>
      <c r="D4" s="8" t="s">
        <v>51</v>
      </c>
      <c r="E4" s="5" t="n">
        <v>2</v>
      </c>
      <c r="F4" s="9"/>
      <c r="G4" s="10" t="str">
        <f aca="false">IF(F4="","",E4*F4)</f>
        <v/>
      </c>
      <c r="H4" s="11"/>
      <c r="I4" s="12"/>
      <c r="J4" s="12"/>
      <c r="K4" s="8" t="s">
        <v>52</v>
      </c>
    </row>
    <row r="5" customFormat="false" ht="15" hidden="false" customHeight="false" outlineLevel="0" collapsed="false">
      <c r="A5" s="5" t="s">
        <v>42</v>
      </c>
      <c r="B5" s="6" t="s">
        <v>43</v>
      </c>
      <c r="C5" s="7" t="s">
        <v>53</v>
      </c>
      <c r="D5" s="8" t="s">
        <v>54</v>
      </c>
      <c r="E5" s="5" t="n">
        <v>2</v>
      </c>
      <c r="F5" s="9"/>
      <c r="G5" s="10" t="str">
        <f aca="false">IF(F5="","",E5*F5)</f>
        <v/>
      </c>
      <c r="H5" s="11"/>
      <c r="I5" s="12"/>
      <c r="J5" s="12"/>
      <c r="K5" s="8" t="s">
        <v>55</v>
      </c>
    </row>
    <row r="6" customFormat="false" ht="15" hidden="false" customHeight="false" outlineLevel="0" collapsed="false">
      <c r="A6" s="5" t="s">
        <v>42</v>
      </c>
      <c r="B6" s="6" t="s">
        <v>43</v>
      </c>
      <c r="C6" s="7" t="s">
        <v>56</v>
      </c>
      <c r="D6" s="8" t="s">
        <v>57</v>
      </c>
      <c r="E6" s="5" t="n">
        <v>1</v>
      </c>
      <c r="F6" s="9"/>
      <c r="G6" s="10" t="str">
        <f aca="false">IF(F6="","",E6*F6)</f>
        <v/>
      </c>
      <c r="H6" s="11"/>
      <c r="I6" s="12"/>
      <c r="J6" s="12"/>
      <c r="K6" s="8" t="s">
        <v>58</v>
      </c>
    </row>
    <row r="7" customFormat="false" ht="15" hidden="false" customHeight="false" outlineLevel="0" collapsed="false">
      <c r="A7" s="5" t="s">
        <v>42</v>
      </c>
      <c r="B7" s="6" t="s">
        <v>43</v>
      </c>
      <c r="C7" s="7" t="s">
        <v>59</v>
      </c>
      <c r="D7" s="8" t="s">
        <v>60</v>
      </c>
      <c r="E7" s="5" t="n">
        <v>1</v>
      </c>
      <c r="F7" s="9"/>
      <c r="G7" s="10" t="str">
        <f aca="false">IF(F7="","",E7*F7)</f>
        <v/>
      </c>
      <c r="H7" s="11"/>
      <c r="I7" s="12"/>
      <c r="J7" s="12"/>
      <c r="K7" s="8" t="s">
        <v>61</v>
      </c>
    </row>
    <row r="8" customFormat="false" ht="15" hidden="false" customHeight="false" outlineLevel="0" collapsed="false">
      <c r="A8" s="5" t="s">
        <v>42</v>
      </c>
      <c r="B8" s="6" t="s">
        <v>43</v>
      </c>
      <c r="C8" s="7" t="s">
        <v>62</v>
      </c>
      <c r="D8" s="8" t="s">
        <v>63</v>
      </c>
      <c r="E8" s="5" t="n">
        <v>1</v>
      </c>
      <c r="F8" s="9"/>
      <c r="G8" s="10" t="str">
        <f aca="false">IF(F8="","",E8*F8)</f>
        <v/>
      </c>
      <c r="H8" s="11"/>
      <c r="I8" s="12"/>
      <c r="J8" s="12"/>
      <c r="K8" s="8" t="s">
        <v>64</v>
      </c>
    </row>
    <row r="9" customFormat="false" ht="15" hidden="false" customHeight="false" outlineLevel="0" collapsed="false">
      <c r="A9" s="5" t="s">
        <v>42</v>
      </c>
      <c r="B9" s="6" t="s">
        <v>43</v>
      </c>
      <c r="C9" s="7" t="s">
        <v>65</v>
      </c>
      <c r="D9" s="8" t="s">
        <v>66</v>
      </c>
      <c r="E9" s="5" t="n">
        <v>2</v>
      </c>
      <c r="F9" s="9"/>
      <c r="G9" s="10" t="str">
        <f aca="false">IF(F9="","",E9*F9)</f>
        <v/>
      </c>
      <c r="H9" s="11"/>
      <c r="I9" s="12"/>
      <c r="J9" s="12"/>
      <c r="K9" s="8" t="s">
        <v>67</v>
      </c>
    </row>
    <row r="10" customFormat="false" ht="15" hidden="false" customHeight="false" outlineLevel="0" collapsed="false">
      <c r="A10" s="5" t="s">
        <v>42</v>
      </c>
      <c r="B10" s="6" t="s">
        <v>43</v>
      </c>
      <c r="C10" s="7" t="s">
        <v>68</v>
      </c>
      <c r="D10" s="8" t="s">
        <v>69</v>
      </c>
      <c r="E10" s="5" t="n">
        <v>1</v>
      </c>
      <c r="F10" s="9"/>
      <c r="G10" s="10" t="str">
        <f aca="false">IF(F10="","",E10*F10)</f>
        <v/>
      </c>
      <c r="H10" s="11"/>
      <c r="I10" s="12"/>
      <c r="J10" s="12"/>
      <c r="K10" s="8" t="s">
        <v>70</v>
      </c>
    </row>
    <row r="11" customFormat="false" ht="15" hidden="false" customHeight="false" outlineLevel="0" collapsed="false">
      <c r="A11" s="5" t="s">
        <v>42</v>
      </c>
      <c r="B11" s="6" t="s">
        <v>43</v>
      </c>
      <c r="C11" s="7" t="s">
        <v>71</v>
      </c>
      <c r="D11" s="8" t="s">
        <v>72</v>
      </c>
      <c r="E11" s="5" t="n">
        <v>1</v>
      </c>
      <c r="F11" s="9"/>
      <c r="G11" s="10" t="str">
        <f aca="false">IF(F11="","",E11*F11)</f>
        <v/>
      </c>
      <c r="H11" s="11"/>
      <c r="I11" s="12"/>
      <c r="J11" s="12"/>
      <c r="K11" s="8" t="s">
        <v>70</v>
      </c>
    </row>
    <row r="12" customFormat="false" ht="15" hidden="false" customHeight="false" outlineLevel="0" collapsed="false">
      <c r="A12" s="5" t="s">
        <v>42</v>
      </c>
      <c r="B12" s="6" t="s">
        <v>43</v>
      </c>
      <c r="C12" s="7" t="s">
        <v>73</v>
      </c>
      <c r="D12" s="8" t="s">
        <v>74</v>
      </c>
      <c r="E12" s="5" t="n">
        <v>1</v>
      </c>
      <c r="F12" s="9"/>
      <c r="G12" s="10" t="str">
        <f aca="false">IF(F12="","",E12*F12)</f>
        <v/>
      </c>
      <c r="H12" s="11"/>
      <c r="I12" s="12"/>
      <c r="J12" s="12"/>
      <c r="K12" s="8" t="s">
        <v>70</v>
      </c>
    </row>
    <row r="13" customFormat="false" ht="15" hidden="false" customHeight="false" outlineLevel="0" collapsed="false">
      <c r="A13" s="5" t="s">
        <v>42</v>
      </c>
      <c r="B13" s="6" t="s">
        <v>43</v>
      </c>
      <c r="C13" s="7" t="s">
        <v>75</v>
      </c>
      <c r="D13" s="8" t="s">
        <v>76</v>
      </c>
      <c r="E13" s="5" t="n">
        <v>1</v>
      </c>
      <c r="F13" s="9"/>
      <c r="G13" s="10" t="str">
        <f aca="false">IF(F13="","",E13*F13)</f>
        <v/>
      </c>
      <c r="H13" s="11"/>
      <c r="I13" s="12"/>
      <c r="J13" s="12"/>
      <c r="K13" s="8" t="s">
        <v>77</v>
      </c>
    </row>
    <row r="14" customFormat="false" ht="15" hidden="false" customHeight="false" outlineLevel="0" collapsed="false">
      <c r="A14" s="5" t="s">
        <v>42</v>
      </c>
      <c r="B14" s="6" t="s">
        <v>43</v>
      </c>
      <c r="C14" s="7" t="s">
        <v>78</v>
      </c>
      <c r="D14" s="8" t="s">
        <v>79</v>
      </c>
      <c r="E14" s="5" t="n">
        <v>1</v>
      </c>
      <c r="F14" s="9"/>
      <c r="G14" s="10" t="str">
        <f aca="false">IF(F14="","",E14*F14)</f>
        <v/>
      </c>
      <c r="H14" s="11"/>
      <c r="I14" s="12"/>
      <c r="J14" s="12"/>
      <c r="K14" s="8" t="s">
        <v>80</v>
      </c>
    </row>
    <row r="15" customFormat="false" ht="15" hidden="false" customHeight="false" outlineLevel="0" collapsed="false">
      <c r="A15" s="5" t="s">
        <v>42</v>
      </c>
      <c r="B15" s="6" t="s">
        <v>43</v>
      </c>
      <c r="C15" s="7" t="s">
        <v>81</v>
      </c>
      <c r="D15" s="8" t="s">
        <v>82</v>
      </c>
      <c r="E15" s="5" t="n">
        <v>1</v>
      </c>
      <c r="F15" s="9"/>
      <c r="G15" s="10" t="str">
        <f aca="false">IF(F15="","",E15*F15)</f>
        <v/>
      </c>
      <c r="H15" s="11"/>
      <c r="I15" s="12"/>
      <c r="J15" s="12"/>
      <c r="K15" s="8" t="s">
        <v>83</v>
      </c>
    </row>
    <row r="16" customFormat="false" ht="15" hidden="false" customHeight="false" outlineLevel="0" collapsed="false">
      <c r="A16" s="5" t="s">
        <v>42</v>
      </c>
      <c r="B16" s="6" t="s">
        <v>43</v>
      </c>
      <c r="C16" s="7" t="s">
        <v>84</v>
      </c>
      <c r="D16" s="8" t="s">
        <v>85</v>
      </c>
      <c r="E16" s="5" t="n">
        <v>1</v>
      </c>
      <c r="F16" s="9"/>
      <c r="G16" s="10" t="str">
        <f aca="false">IF(F16="","",E16*F16)</f>
        <v/>
      </c>
      <c r="H16" s="11"/>
      <c r="I16" s="12"/>
      <c r="J16" s="12"/>
      <c r="K16" s="8" t="s">
        <v>86</v>
      </c>
    </row>
    <row r="17" customFormat="false" ht="23.85" hidden="false" customHeight="false" outlineLevel="0" collapsed="false">
      <c r="A17" s="5" t="s">
        <v>42</v>
      </c>
      <c r="B17" s="13" t="s">
        <v>87</v>
      </c>
      <c r="C17" s="13" t="s">
        <v>88</v>
      </c>
      <c r="D17" s="8" t="s">
        <v>89</v>
      </c>
      <c r="E17" s="5" t="n">
        <v>1</v>
      </c>
      <c r="F17" s="9"/>
      <c r="G17" s="10" t="str">
        <f aca="false">IF(F17="","",E17*F17)</f>
        <v/>
      </c>
      <c r="H17" s="11"/>
      <c r="I17" s="12"/>
      <c r="J17" s="12"/>
      <c r="K17" s="8" t="s">
        <v>90</v>
      </c>
    </row>
    <row r="18" customFormat="false" ht="15" hidden="false" customHeight="false" outlineLevel="0" collapsed="false">
      <c r="A18" s="5" t="s">
        <v>42</v>
      </c>
      <c r="B18" s="13" t="s">
        <v>87</v>
      </c>
      <c r="C18" s="13" t="s">
        <v>91</v>
      </c>
      <c r="D18" s="8" t="s">
        <v>92</v>
      </c>
      <c r="E18" s="5" t="n">
        <v>8</v>
      </c>
      <c r="F18" s="9"/>
      <c r="G18" s="10" t="str">
        <f aca="false">IF(F18="","",E18*F18)</f>
        <v/>
      </c>
      <c r="H18" s="11"/>
      <c r="I18" s="12"/>
      <c r="J18" s="12"/>
      <c r="K18" s="8" t="s">
        <v>93</v>
      </c>
    </row>
    <row r="19" customFormat="false" ht="15" hidden="false" customHeight="false" outlineLevel="0" collapsed="false">
      <c r="A19" s="5" t="s">
        <v>42</v>
      </c>
      <c r="B19" s="13" t="s">
        <v>87</v>
      </c>
      <c r="C19" s="13" t="s">
        <v>94</v>
      </c>
      <c r="D19" s="8" t="s">
        <v>95</v>
      </c>
      <c r="E19" s="5" t="n">
        <v>1</v>
      </c>
      <c r="F19" s="9"/>
      <c r="G19" s="10" t="str">
        <f aca="false">IF(F19="","",E19*F19)</f>
        <v/>
      </c>
      <c r="H19" s="11"/>
      <c r="I19" s="12"/>
      <c r="J19" s="12"/>
      <c r="K19" s="8" t="s">
        <v>96</v>
      </c>
    </row>
    <row r="20" customFormat="false" ht="15" hidden="false" customHeight="false" outlineLevel="0" collapsed="false">
      <c r="A20" s="5" t="s">
        <v>42</v>
      </c>
      <c r="B20" s="13" t="s">
        <v>87</v>
      </c>
      <c r="C20" s="13" t="s">
        <v>97</v>
      </c>
      <c r="D20" s="8" t="s">
        <v>98</v>
      </c>
      <c r="E20" s="5" t="n">
        <v>1</v>
      </c>
      <c r="F20" s="9"/>
      <c r="G20" s="10" t="str">
        <f aca="false">IF(F20="","",E20*F20)</f>
        <v/>
      </c>
      <c r="H20" s="11"/>
      <c r="I20" s="12"/>
      <c r="J20" s="12"/>
      <c r="K20" s="8" t="s">
        <v>99</v>
      </c>
    </row>
    <row r="21" customFormat="false" ht="15" hidden="false" customHeight="false" outlineLevel="0" collapsed="false">
      <c r="A21" s="5" t="s">
        <v>42</v>
      </c>
      <c r="B21" s="13" t="s">
        <v>87</v>
      </c>
      <c r="C21" s="13" t="s">
        <v>100</v>
      </c>
      <c r="D21" s="8" t="s">
        <v>101</v>
      </c>
      <c r="E21" s="5" t="n">
        <v>1</v>
      </c>
      <c r="F21" s="9"/>
      <c r="G21" s="10" t="str">
        <f aca="false">IF(F21="","",E21*F21)</f>
        <v/>
      </c>
      <c r="H21" s="11"/>
      <c r="I21" s="12"/>
      <c r="J21" s="12"/>
      <c r="K21" s="8" t="s">
        <v>102</v>
      </c>
    </row>
    <row r="22" customFormat="false" ht="15" hidden="false" customHeight="false" outlineLevel="0" collapsed="false">
      <c r="A22" s="5" t="s">
        <v>42</v>
      </c>
      <c r="B22" s="13" t="s">
        <v>87</v>
      </c>
      <c r="C22" s="13" t="s">
        <v>103</v>
      </c>
      <c r="D22" s="8" t="s">
        <v>104</v>
      </c>
      <c r="E22" s="5" t="n">
        <v>1</v>
      </c>
      <c r="F22" s="9"/>
      <c r="G22" s="10" t="str">
        <f aca="false">IF(F22="","",E22*F22)</f>
        <v/>
      </c>
      <c r="H22" s="11"/>
      <c r="I22" s="12"/>
      <c r="J22" s="12"/>
      <c r="K22" s="8" t="s">
        <v>105</v>
      </c>
    </row>
    <row r="23" customFormat="false" ht="15" hidden="false" customHeight="false" outlineLevel="0" collapsed="false">
      <c r="A23" s="5" t="s">
        <v>42</v>
      </c>
      <c r="B23" s="13" t="s">
        <v>87</v>
      </c>
      <c r="C23" s="13" t="s">
        <v>106</v>
      </c>
      <c r="D23" s="8" t="s">
        <v>107</v>
      </c>
      <c r="E23" s="5" t="n">
        <v>1</v>
      </c>
      <c r="F23" s="9"/>
      <c r="G23" s="10" t="str">
        <f aca="false">IF(F23="","",E23*F23)</f>
        <v/>
      </c>
      <c r="H23" s="11"/>
      <c r="I23" s="12"/>
      <c r="J23" s="12"/>
      <c r="K23" s="8" t="s">
        <v>108</v>
      </c>
    </row>
    <row r="24" customFormat="false" ht="15" hidden="false" customHeight="false" outlineLevel="0" collapsed="false">
      <c r="A24" s="5" t="s">
        <v>42</v>
      </c>
      <c r="B24" s="13" t="s">
        <v>109</v>
      </c>
      <c r="C24" s="13" t="s">
        <v>110</v>
      </c>
      <c r="D24" s="8" t="s">
        <v>111</v>
      </c>
      <c r="E24" s="5" t="n">
        <v>1</v>
      </c>
      <c r="F24" s="9"/>
      <c r="G24" s="10" t="str">
        <f aca="false">IF(F24="","",E24*F24)</f>
        <v/>
      </c>
      <c r="H24" s="11"/>
      <c r="I24" s="12"/>
      <c r="J24" s="12"/>
      <c r="K24" s="8" t="s">
        <v>112</v>
      </c>
    </row>
    <row r="25" customFormat="false" ht="15" hidden="false" customHeight="false" outlineLevel="0" collapsed="false">
      <c r="A25" s="5" t="s">
        <v>42</v>
      </c>
      <c r="B25" s="13" t="s">
        <v>109</v>
      </c>
      <c r="C25" s="13" t="s">
        <v>113</v>
      </c>
      <c r="D25" s="8" t="s">
        <v>114</v>
      </c>
      <c r="E25" s="5" t="n">
        <v>1</v>
      </c>
      <c r="F25" s="9"/>
      <c r="G25" s="10" t="str">
        <f aca="false">IF(F25="","",E25*F25)</f>
        <v/>
      </c>
      <c r="H25" s="11"/>
      <c r="I25" s="12"/>
      <c r="J25" s="12"/>
      <c r="K25" s="8" t="s">
        <v>115</v>
      </c>
    </row>
    <row r="26" customFormat="false" ht="15" hidden="false" customHeight="false" outlineLevel="0" collapsed="false">
      <c r="A26" s="5" t="s">
        <v>42</v>
      </c>
      <c r="B26" s="13" t="s">
        <v>109</v>
      </c>
      <c r="C26" s="13" t="s">
        <v>116</v>
      </c>
      <c r="D26" s="8" t="s">
        <v>117</v>
      </c>
      <c r="E26" s="5" t="n">
        <v>1</v>
      </c>
      <c r="F26" s="9"/>
      <c r="G26" s="10" t="str">
        <f aca="false">IF(F26="","",E26*F26)</f>
        <v/>
      </c>
      <c r="H26" s="11"/>
      <c r="I26" s="12"/>
      <c r="J26" s="12"/>
      <c r="K26" s="8" t="s">
        <v>118</v>
      </c>
    </row>
    <row r="27" customFormat="false" ht="15" hidden="false" customHeight="false" outlineLevel="0" collapsed="false">
      <c r="A27" s="5" t="s">
        <v>42</v>
      </c>
      <c r="B27" s="13" t="s">
        <v>109</v>
      </c>
      <c r="C27" s="13" t="s">
        <v>119</v>
      </c>
      <c r="D27" s="8" t="s">
        <v>120</v>
      </c>
      <c r="E27" s="5" t="n">
        <v>3</v>
      </c>
      <c r="F27" s="9"/>
      <c r="G27" s="10" t="str">
        <f aca="false">IF(F27="","",E27*F27)</f>
        <v/>
      </c>
      <c r="H27" s="11"/>
      <c r="I27" s="12"/>
      <c r="J27" s="12"/>
      <c r="K27" s="8" t="s">
        <v>121</v>
      </c>
    </row>
    <row r="28" customFormat="false" ht="15" hidden="false" customHeight="false" outlineLevel="0" collapsed="false">
      <c r="A28" s="5" t="s">
        <v>42</v>
      </c>
      <c r="B28" s="13" t="s">
        <v>109</v>
      </c>
      <c r="C28" s="13" t="s">
        <v>122</v>
      </c>
      <c r="D28" s="8" t="s">
        <v>123</v>
      </c>
      <c r="E28" s="5" t="n">
        <v>1</v>
      </c>
      <c r="F28" s="9"/>
      <c r="G28" s="10" t="str">
        <f aca="false">IF(F28="","",E28*F28)</f>
        <v/>
      </c>
      <c r="H28" s="11"/>
      <c r="I28" s="12"/>
      <c r="J28" s="12"/>
      <c r="K28" s="8" t="s">
        <v>124</v>
      </c>
    </row>
    <row r="29" customFormat="false" ht="15" hidden="false" customHeight="false" outlineLevel="0" collapsed="false">
      <c r="A29" s="5" t="s">
        <v>42</v>
      </c>
      <c r="B29" s="13" t="s">
        <v>109</v>
      </c>
      <c r="C29" s="13" t="s">
        <v>125</v>
      </c>
      <c r="D29" s="8" t="s">
        <v>126</v>
      </c>
      <c r="E29" s="5" t="n">
        <v>1</v>
      </c>
      <c r="F29" s="9"/>
      <c r="G29" s="10" t="str">
        <f aca="false">IF(F29="","",E29*F29)</f>
        <v/>
      </c>
      <c r="H29" s="11"/>
      <c r="I29" s="12"/>
      <c r="J29" s="12"/>
      <c r="K29" s="8" t="s">
        <v>127</v>
      </c>
    </row>
    <row r="30" customFormat="false" ht="15" hidden="false" customHeight="false" outlineLevel="0" collapsed="false">
      <c r="A30" s="5" t="s">
        <v>42</v>
      </c>
      <c r="B30" s="13" t="s">
        <v>109</v>
      </c>
      <c r="C30" s="13" t="s">
        <v>128</v>
      </c>
      <c r="D30" s="8" t="s">
        <v>129</v>
      </c>
      <c r="E30" s="5" t="n">
        <v>1</v>
      </c>
      <c r="F30" s="9"/>
      <c r="G30" s="10" t="str">
        <f aca="false">IF(F30="","",E30*F30)</f>
        <v/>
      </c>
      <c r="H30" s="11"/>
      <c r="I30" s="12"/>
      <c r="J30" s="12"/>
      <c r="K30" s="8" t="s">
        <v>130</v>
      </c>
    </row>
    <row r="31" customFormat="false" ht="15" hidden="false" customHeight="false" outlineLevel="0" collapsed="false">
      <c r="A31" s="5" t="s">
        <v>42</v>
      </c>
      <c r="B31" s="13" t="s">
        <v>109</v>
      </c>
      <c r="C31" s="13" t="s">
        <v>131</v>
      </c>
      <c r="D31" s="8" t="s">
        <v>132</v>
      </c>
      <c r="E31" s="5" t="n">
        <v>4</v>
      </c>
      <c r="F31" s="9"/>
      <c r="G31" s="10" t="str">
        <f aca="false">IF(F31="","",E31*F31)</f>
        <v/>
      </c>
      <c r="H31" s="11"/>
      <c r="I31" s="12"/>
      <c r="J31" s="12"/>
      <c r="K31" s="8" t="s">
        <v>133</v>
      </c>
    </row>
    <row r="32" customFormat="false" ht="15" hidden="false" customHeight="false" outlineLevel="0" collapsed="false">
      <c r="A32" s="5" t="s">
        <v>42</v>
      </c>
      <c r="B32" s="13" t="s">
        <v>134</v>
      </c>
      <c r="C32" s="13" t="s">
        <v>135</v>
      </c>
      <c r="D32" s="8" t="s">
        <v>136</v>
      </c>
      <c r="E32" s="5" t="n">
        <v>1</v>
      </c>
      <c r="F32" s="9"/>
      <c r="G32" s="10" t="str">
        <f aca="false">IF(F32="","",E32*F32)</f>
        <v/>
      </c>
      <c r="H32" s="11"/>
      <c r="I32" s="12"/>
      <c r="J32" s="12"/>
      <c r="K32" s="8" t="s">
        <v>137</v>
      </c>
    </row>
    <row r="33" customFormat="false" ht="15" hidden="false" customHeight="false" outlineLevel="0" collapsed="false">
      <c r="A33" s="5" t="s">
        <v>42</v>
      </c>
      <c r="B33" s="13" t="s">
        <v>134</v>
      </c>
      <c r="C33" s="13" t="s">
        <v>138</v>
      </c>
      <c r="D33" s="8" t="s">
        <v>139</v>
      </c>
      <c r="E33" s="5" t="n">
        <v>1</v>
      </c>
      <c r="F33" s="9"/>
      <c r="G33" s="10" t="str">
        <f aca="false">IF(F33="","",E33*F33)</f>
        <v/>
      </c>
      <c r="H33" s="11"/>
      <c r="I33" s="12"/>
      <c r="J33" s="12"/>
      <c r="K33" s="8" t="s">
        <v>140</v>
      </c>
    </row>
    <row r="34" customFormat="false" ht="15" hidden="false" customHeight="false" outlineLevel="0" collapsed="false">
      <c r="A34" s="5" t="s">
        <v>42</v>
      </c>
      <c r="B34" s="13" t="s">
        <v>134</v>
      </c>
      <c r="C34" s="13" t="s">
        <v>141</v>
      </c>
      <c r="D34" s="8" t="s">
        <v>142</v>
      </c>
      <c r="E34" s="5" t="n">
        <v>1</v>
      </c>
      <c r="F34" s="9"/>
      <c r="G34" s="10" t="str">
        <f aca="false">IF(F34="","",E34*F34)</f>
        <v/>
      </c>
      <c r="H34" s="11"/>
      <c r="I34" s="12"/>
      <c r="J34" s="12"/>
      <c r="K34" s="8" t="s">
        <v>143</v>
      </c>
    </row>
    <row r="35" customFormat="false" ht="15" hidden="false" customHeight="false" outlineLevel="0" collapsed="false">
      <c r="A35" s="5" t="s">
        <v>42</v>
      </c>
      <c r="B35" s="13" t="s">
        <v>134</v>
      </c>
      <c r="C35" s="13" t="s">
        <v>144</v>
      </c>
      <c r="D35" s="8" t="s">
        <v>145</v>
      </c>
      <c r="E35" s="5" t="n">
        <v>5</v>
      </c>
      <c r="F35" s="9"/>
      <c r="G35" s="10" t="str">
        <f aca="false">IF(F35="","",E35*F35)</f>
        <v/>
      </c>
      <c r="H35" s="11"/>
      <c r="I35" s="12"/>
      <c r="J35" s="12"/>
      <c r="K35" s="8" t="s">
        <v>146</v>
      </c>
    </row>
    <row r="36" customFormat="false" ht="15" hidden="false" customHeight="false" outlineLevel="0" collapsed="false">
      <c r="A36" s="5" t="s">
        <v>42</v>
      </c>
      <c r="B36" s="13" t="s">
        <v>134</v>
      </c>
      <c r="C36" s="13" t="s">
        <v>147</v>
      </c>
      <c r="D36" s="8" t="s">
        <v>148</v>
      </c>
      <c r="E36" s="5" t="n">
        <v>1</v>
      </c>
      <c r="F36" s="9"/>
      <c r="G36" s="10" t="str">
        <f aca="false">IF(F36="","",E36*F36)</f>
        <v/>
      </c>
      <c r="H36" s="11"/>
      <c r="I36" s="12"/>
      <c r="J36" s="12"/>
      <c r="K36" s="8" t="s">
        <v>149</v>
      </c>
    </row>
    <row r="37" customFormat="false" ht="15" hidden="false" customHeight="false" outlineLevel="0" collapsed="false">
      <c r="A37" s="5" t="s">
        <v>42</v>
      </c>
      <c r="B37" s="13" t="s">
        <v>134</v>
      </c>
      <c r="C37" s="13" t="s">
        <v>150</v>
      </c>
      <c r="D37" s="8" t="s">
        <v>151</v>
      </c>
      <c r="E37" s="5" t="n">
        <v>1</v>
      </c>
      <c r="F37" s="9"/>
      <c r="G37" s="10" t="str">
        <f aca="false">IF(F37="","",E37*F37)</f>
        <v/>
      </c>
      <c r="H37" s="11"/>
      <c r="I37" s="12"/>
      <c r="J37" s="12"/>
      <c r="K37" s="8" t="s">
        <v>152</v>
      </c>
    </row>
    <row r="38" customFormat="false" ht="15" hidden="false" customHeight="false" outlineLevel="0" collapsed="false">
      <c r="A38" s="5" t="s">
        <v>42</v>
      </c>
      <c r="B38" s="13" t="s">
        <v>134</v>
      </c>
      <c r="C38" s="13" t="s">
        <v>153</v>
      </c>
      <c r="D38" s="8" t="s">
        <v>154</v>
      </c>
      <c r="E38" s="5" t="n">
        <v>1</v>
      </c>
      <c r="F38" s="9"/>
      <c r="G38" s="10" t="str">
        <f aca="false">IF(F38="","",E38*F38)</f>
        <v/>
      </c>
      <c r="H38" s="11"/>
      <c r="I38" s="12"/>
      <c r="J38" s="12"/>
      <c r="K38" s="8" t="s">
        <v>155</v>
      </c>
    </row>
    <row r="39" customFormat="false" ht="15" hidden="false" customHeight="false" outlineLevel="0" collapsed="false">
      <c r="A39" s="5" t="s">
        <v>42</v>
      </c>
      <c r="B39" s="13" t="s">
        <v>134</v>
      </c>
      <c r="C39" s="13" t="s">
        <v>156</v>
      </c>
      <c r="D39" s="8" t="s">
        <v>157</v>
      </c>
      <c r="E39" s="5" t="n">
        <v>2</v>
      </c>
      <c r="F39" s="9"/>
      <c r="G39" s="10" t="str">
        <f aca="false">IF(F39="","",E39*F39)</f>
        <v/>
      </c>
      <c r="H39" s="11"/>
      <c r="I39" s="12"/>
      <c r="J39" s="12"/>
      <c r="K39" s="8" t="s">
        <v>158</v>
      </c>
    </row>
    <row r="40" customFormat="false" ht="15" hidden="false" customHeight="false" outlineLevel="0" collapsed="false">
      <c r="A40" s="5" t="s">
        <v>42</v>
      </c>
      <c r="B40" s="13" t="s">
        <v>134</v>
      </c>
      <c r="C40" s="13" t="s">
        <v>159</v>
      </c>
      <c r="D40" s="8" t="s">
        <v>160</v>
      </c>
      <c r="E40" s="5" t="n">
        <v>1</v>
      </c>
      <c r="F40" s="9"/>
      <c r="G40" s="10" t="str">
        <f aca="false">IF(F40="","",E40*F40)</f>
        <v/>
      </c>
      <c r="H40" s="11"/>
      <c r="I40" s="12"/>
      <c r="J40" s="12"/>
      <c r="K40" s="8" t="s">
        <v>161</v>
      </c>
    </row>
    <row r="41" customFormat="false" ht="15" hidden="false" customHeight="false" outlineLevel="0" collapsed="false">
      <c r="A41" s="5" t="s">
        <v>42</v>
      </c>
      <c r="B41" s="13" t="s">
        <v>162</v>
      </c>
      <c r="C41" s="13" t="s">
        <v>163</v>
      </c>
      <c r="D41" s="8" t="s">
        <v>164</v>
      </c>
      <c r="E41" s="5" t="n">
        <v>1</v>
      </c>
      <c r="F41" s="9"/>
      <c r="G41" s="10" t="str">
        <f aca="false">IF(F41="","",E41*F41)</f>
        <v/>
      </c>
      <c r="H41" s="11"/>
      <c r="I41" s="12"/>
      <c r="J41" s="12"/>
      <c r="K41" s="8" t="s">
        <v>165</v>
      </c>
    </row>
    <row r="42" customFormat="false" ht="15" hidden="false" customHeight="false" outlineLevel="0" collapsed="false">
      <c r="A42" s="5" t="s">
        <v>42</v>
      </c>
      <c r="B42" s="13" t="s">
        <v>162</v>
      </c>
      <c r="C42" s="13" t="s">
        <v>166</v>
      </c>
      <c r="D42" s="8" t="s">
        <v>167</v>
      </c>
      <c r="E42" s="5" t="n">
        <v>1</v>
      </c>
      <c r="F42" s="9"/>
      <c r="G42" s="10" t="str">
        <f aca="false">IF(F42="","",E42*F42)</f>
        <v/>
      </c>
      <c r="H42" s="11"/>
      <c r="I42" s="12"/>
      <c r="J42" s="12"/>
      <c r="K42" s="8" t="s">
        <v>168</v>
      </c>
    </row>
    <row r="43" customFormat="false" ht="15" hidden="false" customHeight="false" outlineLevel="0" collapsed="false">
      <c r="A43" s="5" t="s">
        <v>42</v>
      </c>
      <c r="B43" s="13" t="s">
        <v>162</v>
      </c>
      <c r="C43" s="13" t="s">
        <v>169</v>
      </c>
      <c r="D43" s="8" t="s">
        <v>170</v>
      </c>
      <c r="E43" s="5" t="n">
        <v>1</v>
      </c>
      <c r="F43" s="9"/>
      <c r="G43" s="10" t="str">
        <f aca="false">IF(F43="","",E43*F43)</f>
        <v/>
      </c>
      <c r="H43" s="11"/>
      <c r="I43" s="12"/>
      <c r="J43" s="12"/>
      <c r="K43" s="8" t="s">
        <v>171</v>
      </c>
    </row>
    <row r="44" customFormat="false" ht="15" hidden="false" customHeight="false" outlineLevel="0" collapsed="false">
      <c r="A44" s="5" t="s">
        <v>42</v>
      </c>
      <c r="B44" s="13" t="s">
        <v>162</v>
      </c>
      <c r="C44" s="13" t="s">
        <v>172</v>
      </c>
      <c r="D44" s="8" t="s">
        <v>173</v>
      </c>
      <c r="E44" s="5" t="n">
        <v>1</v>
      </c>
      <c r="F44" s="9"/>
      <c r="G44" s="10" t="str">
        <f aca="false">IF(F44="","",E44*F44)</f>
        <v/>
      </c>
      <c r="H44" s="11"/>
      <c r="I44" s="12"/>
      <c r="J44" s="12"/>
      <c r="K44" s="8" t="s">
        <v>174</v>
      </c>
    </row>
    <row r="45" customFormat="false" ht="15" hidden="false" customHeight="false" outlineLevel="0" collapsed="false">
      <c r="A45" s="5" t="s">
        <v>42</v>
      </c>
      <c r="B45" s="13" t="s">
        <v>162</v>
      </c>
      <c r="C45" s="13" t="s">
        <v>175</v>
      </c>
      <c r="D45" s="8" t="s">
        <v>176</v>
      </c>
      <c r="E45" s="5" t="n">
        <v>1</v>
      </c>
      <c r="F45" s="9"/>
      <c r="G45" s="10" t="str">
        <f aca="false">IF(F45="","",E45*F45)</f>
        <v/>
      </c>
      <c r="H45" s="11"/>
      <c r="I45" s="12"/>
      <c r="J45" s="12"/>
      <c r="K45" s="8" t="s">
        <v>177</v>
      </c>
    </row>
    <row r="46" customFormat="false" ht="15" hidden="false" customHeight="false" outlineLevel="0" collapsed="false">
      <c r="A46" s="5" t="s">
        <v>42</v>
      </c>
      <c r="B46" s="13" t="s">
        <v>162</v>
      </c>
      <c r="C46" s="13" t="s">
        <v>178</v>
      </c>
      <c r="D46" s="8" t="s">
        <v>179</v>
      </c>
      <c r="E46" s="5" t="n">
        <v>1</v>
      </c>
      <c r="F46" s="9"/>
      <c r="G46" s="10" t="str">
        <f aca="false">IF(F46="","",E46*F46)</f>
        <v/>
      </c>
      <c r="H46" s="11"/>
      <c r="I46" s="12"/>
      <c r="J46" s="12"/>
      <c r="K46" s="8"/>
    </row>
    <row r="47" customFormat="false" ht="15" hidden="false" customHeight="false" outlineLevel="0" collapsed="false">
      <c r="A47" s="5" t="s">
        <v>42</v>
      </c>
      <c r="B47" s="6" t="s">
        <v>180</v>
      </c>
      <c r="C47" s="7" t="s">
        <v>181</v>
      </c>
      <c r="D47" s="8" t="s">
        <v>182</v>
      </c>
      <c r="E47" s="5" t="n">
        <v>1</v>
      </c>
      <c r="F47" s="9"/>
      <c r="G47" s="10" t="str">
        <f aca="false">IF(F47="","",E47*F47)</f>
        <v/>
      </c>
      <c r="H47" s="11"/>
      <c r="I47" s="12"/>
      <c r="J47" s="12"/>
      <c r="K47" s="8" t="s">
        <v>183</v>
      </c>
    </row>
    <row r="48" customFormat="false" ht="15" hidden="false" customHeight="false" outlineLevel="0" collapsed="false">
      <c r="A48" s="5" t="s">
        <v>42</v>
      </c>
      <c r="B48" s="6" t="s">
        <v>180</v>
      </c>
      <c r="C48" s="7" t="s">
        <v>184</v>
      </c>
      <c r="D48" s="8" t="s">
        <v>185</v>
      </c>
      <c r="E48" s="5" t="n">
        <v>1</v>
      </c>
      <c r="F48" s="9"/>
      <c r="G48" s="10" t="str">
        <f aca="false">IF(F48="","",E48*F48)</f>
        <v/>
      </c>
      <c r="H48" s="11"/>
      <c r="I48" s="12"/>
      <c r="J48" s="12"/>
      <c r="K48" s="8" t="s">
        <v>186</v>
      </c>
    </row>
    <row r="49" customFormat="false" ht="15" hidden="false" customHeight="false" outlineLevel="0" collapsed="false">
      <c r="A49" s="5" t="s">
        <v>42</v>
      </c>
      <c r="B49" s="13" t="s">
        <v>187</v>
      </c>
      <c r="C49" s="13" t="s">
        <v>113</v>
      </c>
      <c r="D49" s="8" t="s">
        <v>188</v>
      </c>
      <c r="E49" s="5" t="n">
        <v>1</v>
      </c>
      <c r="F49" s="9"/>
      <c r="G49" s="10" t="str">
        <f aca="false">IF(F49="","",E49*F49)</f>
        <v/>
      </c>
      <c r="H49" s="11"/>
      <c r="I49" s="12"/>
      <c r="J49" s="12"/>
      <c r="K49" s="8" t="s">
        <v>189</v>
      </c>
    </row>
    <row r="50" customFormat="false" ht="15" hidden="false" customHeight="false" outlineLevel="0" collapsed="false">
      <c r="A50" s="5" t="s">
        <v>42</v>
      </c>
      <c r="B50" s="13" t="s">
        <v>187</v>
      </c>
      <c r="C50" s="13" t="s">
        <v>190</v>
      </c>
      <c r="D50" s="8" t="s">
        <v>191</v>
      </c>
      <c r="E50" s="5" t="n">
        <v>1</v>
      </c>
      <c r="F50" s="9"/>
      <c r="G50" s="10" t="str">
        <f aca="false">IF(F50="","",E50*F50)</f>
        <v/>
      </c>
      <c r="H50" s="11"/>
      <c r="I50" s="12"/>
      <c r="J50" s="12"/>
      <c r="K50" s="8" t="s">
        <v>192</v>
      </c>
    </row>
    <row r="51" customFormat="false" ht="15" hidden="false" customHeight="false" outlineLevel="0" collapsed="false">
      <c r="A51" s="5" t="s">
        <v>42</v>
      </c>
      <c r="B51" s="13" t="s">
        <v>187</v>
      </c>
      <c r="C51" s="13" t="s">
        <v>119</v>
      </c>
      <c r="D51" s="8" t="s">
        <v>193</v>
      </c>
      <c r="E51" s="5" t="n">
        <v>3</v>
      </c>
      <c r="F51" s="9"/>
      <c r="G51" s="10" t="str">
        <f aca="false">IF(F51="","",E51*F51)</f>
        <v/>
      </c>
      <c r="H51" s="11"/>
      <c r="I51" s="12"/>
      <c r="J51" s="12"/>
      <c r="K51" s="8" t="s">
        <v>194</v>
      </c>
    </row>
    <row r="52" customFormat="false" ht="15" hidden="false" customHeight="false" outlineLevel="0" collapsed="false">
      <c r="A52" s="5" t="s">
        <v>42</v>
      </c>
      <c r="B52" s="13" t="s">
        <v>187</v>
      </c>
      <c r="C52" s="13" t="s">
        <v>195</v>
      </c>
      <c r="D52" s="8" t="s">
        <v>196</v>
      </c>
      <c r="E52" s="5" t="n">
        <v>1</v>
      </c>
      <c r="F52" s="9"/>
      <c r="G52" s="10" t="str">
        <f aca="false">IF(F52="","",E52*F52)</f>
        <v/>
      </c>
      <c r="H52" s="11"/>
      <c r="I52" s="12"/>
      <c r="J52" s="12"/>
      <c r="K52" s="8" t="s">
        <v>197</v>
      </c>
    </row>
    <row r="54" customFormat="false" ht="15" hidden="false" customHeight="false" outlineLevel="0" collapsed="false">
      <c r="C54" s="3" t="s">
        <v>198</v>
      </c>
    </row>
    <row r="55" customFormat="false" ht="15" hidden="false" customHeight="false" outlineLevel="0" collapsed="false">
      <c r="C55" s="14" t="s">
        <v>199</v>
      </c>
      <c r="D55" s="15" t="n">
        <f aca="false">COUNTIF(A2:A52,"Yes")</f>
        <v>0</v>
      </c>
    </row>
    <row r="56" customFormat="false" ht="15" hidden="false" customHeight="false" outlineLevel="0" collapsed="false">
      <c r="C56" s="14" t="s">
        <v>200</v>
      </c>
      <c r="D56" s="15" t="n">
        <f aca="false">COUNTIF(A2:A52,"No")</f>
        <v>51</v>
      </c>
    </row>
    <row r="57" customFormat="false" ht="15" hidden="false" customHeight="false" outlineLevel="0" collapsed="false">
      <c r="C57" s="14" t="s">
        <v>201</v>
      </c>
      <c r="D57" s="16" t="n">
        <f aca="false">SUMIFS(G2:G52,A2:A52,"Yes")</f>
        <v>0</v>
      </c>
    </row>
    <row r="58" customFormat="false" ht="15" hidden="false" customHeight="false" outlineLevel="0" collapsed="false">
      <c r="C58" s="14" t="s">
        <v>202</v>
      </c>
      <c r="D58" s="16" t="n">
        <f aca="false">SUMIFS(G2:G52,A2:A52,"No")</f>
        <v>0</v>
      </c>
    </row>
    <row r="59" customFormat="false" ht="15" hidden="false" customHeight="false" outlineLevel="0" collapsed="false">
      <c r="C59" s="17" t="s">
        <v>203</v>
      </c>
      <c r="D59" s="18" t="n">
        <f aca="false">SUM(G2:G52)</f>
        <v>0</v>
      </c>
    </row>
    <row r="60" customFormat="false" ht="15" hidden="false" customHeight="false" outlineLevel="0" collapsed="false">
      <c r="C60" s="17" t="s">
        <v>204</v>
      </c>
      <c r="D60" s="19" t="n">
        <f aca="false">COUNTBLANK(F2:F52)</f>
        <v>51</v>
      </c>
    </row>
  </sheetData>
  <autoFilter ref="A1:K52"/>
  <conditionalFormatting sqref="A2:K52">
    <cfRule type="expression" priority="2" aboveAverage="0" equalAverage="0" bottom="0" percent="0" rank="0" text="" dxfId="5">
      <formula>$A2="Yes"</formula>
    </cfRule>
  </conditionalFormatting>
  <dataValidations count="1">
    <dataValidation allowBlank="false" errorStyle="stop" operator="between" showDropDown="false" showErrorMessage="false" showInputMessage="false" sqref="A2:A52" type="list">
      <formula1>"No,Yes"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5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20" t="s">
        <v>32</v>
      </c>
      <c r="B1" s="20" t="s">
        <v>205</v>
      </c>
      <c r="C1" s="20" t="s">
        <v>206</v>
      </c>
      <c r="D1" s="20" t="s">
        <v>207</v>
      </c>
      <c r="E1" s="20" t="s">
        <v>208</v>
      </c>
    </row>
    <row r="2" customFormat="false" ht="15" hidden="false" customHeight="false" outlineLevel="0" collapsed="false">
      <c r="A2" s="21" t="s">
        <v>43</v>
      </c>
      <c r="B2" s="21" t="n">
        <f aca="false">COUNTIF(Items!$B$2:$B$52,$A2)</f>
        <v>15</v>
      </c>
      <c r="C2" s="21" t="n">
        <f aca="false">COUNTIFS(Items!$B$2:$B$52,$A2,Items!$A$2:$A$52,"Yes")</f>
        <v>0</v>
      </c>
      <c r="D2" s="22" t="n">
        <f aca="false">SUMIFS(Items!$G$2:$G$52,Items!$B$2:$B$52,$A2)</f>
        <v>0</v>
      </c>
      <c r="E2" s="22" t="n">
        <f aca="false">SUMIFS(Items!$G$2:$G$52,Items!$B$2:$B$52,$A2,Items!$A$2:$A$52,"Yes")</f>
        <v>0</v>
      </c>
    </row>
    <row r="3" customFormat="false" ht="15" hidden="false" customHeight="false" outlineLevel="0" collapsed="false">
      <c r="A3" s="21" t="s">
        <v>87</v>
      </c>
      <c r="B3" s="21" t="n">
        <f aca="false">COUNTIF(Items!$B$2:$B$52,$A3)</f>
        <v>7</v>
      </c>
      <c r="C3" s="21" t="n">
        <f aca="false">COUNTIFS(Items!$B$2:$B$52,$A3,Items!$A$2:$A$52,"Yes")</f>
        <v>0</v>
      </c>
      <c r="D3" s="22" t="n">
        <f aca="false">SUMIFS(Items!$G$2:$G$52,Items!$B$2:$B$52,$A3)</f>
        <v>0</v>
      </c>
      <c r="E3" s="22" t="n">
        <f aca="false">SUMIFS(Items!$G$2:$G$52,Items!$B$2:$B$52,$A3,Items!$A$2:$A$52,"Yes")</f>
        <v>0</v>
      </c>
    </row>
    <row r="4" customFormat="false" ht="15" hidden="false" customHeight="false" outlineLevel="0" collapsed="false">
      <c r="A4" s="21" t="s">
        <v>109</v>
      </c>
      <c r="B4" s="21" t="n">
        <f aca="false">COUNTIF(Items!$B$2:$B$52,$A4)</f>
        <v>8</v>
      </c>
      <c r="C4" s="21" t="n">
        <f aca="false">COUNTIFS(Items!$B$2:$B$52,$A4,Items!$A$2:$A$52,"Yes")</f>
        <v>0</v>
      </c>
      <c r="D4" s="22" t="n">
        <f aca="false">SUMIFS(Items!$G$2:$G$52,Items!$B$2:$B$52,$A4)</f>
        <v>0</v>
      </c>
      <c r="E4" s="22" t="n">
        <f aca="false">SUMIFS(Items!$G$2:$G$52,Items!$B$2:$B$52,$A4,Items!$A$2:$A$52,"Yes")</f>
        <v>0</v>
      </c>
    </row>
    <row r="5" customFormat="false" ht="15" hidden="false" customHeight="false" outlineLevel="0" collapsed="false">
      <c r="A5" s="21" t="s">
        <v>134</v>
      </c>
      <c r="B5" s="21" t="n">
        <f aca="false">COUNTIF(Items!$B$2:$B$52,$A5)</f>
        <v>9</v>
      </c>
      <c r="C5" s="21" t="n">
        <f aca="false">COUNTIFS(Items!$B$2:$B$52,$A5,Items!$A$2:$A$52,"Yes")</f>
        <v>0</v>
      </c>
      <c r="D5" s="22" t="n">
        <f aca="false">SUMIFS(Items!$G$2:$G$52,Items!$B$2:$B$52,$A5)</f>
        <v>0</v>
      </c>
      <c r="E5" s="22" t="n">
        <f aca="false">SUMIFS(Items!$G$2:$G$52,Items!$B$2:$B$52,$A5,Items!$A$2:$A$52,"Yes")</f>
        <v>0</v>
      </c>
    </row>
    <row r="6" customFormat="false" ht="15" hidden="false" customHeight="false" outlineLevel="0" collapsed="false">
      <c r="A6" s="21" t="s">
        <v>162</v>
      </c>
      <c r="B6" s="21" t="n">
        <f aca="false">COUNTIF(Items!$B$2:$B$52,$A6)</f>
        <v>6</v>
      </c>
      <c r="C6" s="21" t="n">
        <f aca="false">COUNTIFS(Items!$B$2:$B$52,$A6,Items!$A$2:$A$52,"Yes")</f>
        <v>0</v>
      </c>
      <c r="D6" s="22" t="n">
        <f aca="false">SUMIFS(Items!$G$2:$G$52,Items!$B$2:$B$52,$A6)</f>
        <v>0</v>
      </c>
      <c r="E6" s="22" t="n">
        <f aca="false">SUMIFS(Items!$G$2:$G$52,Items!$B$2:$B$52,$A6,Items!$A$2:$A$52,"Yes")</f>
        <v>0</v>
      </c>
    </row>
    <row r="7" customFormat="false" ht="15" hidden="false" customHeight="false" outlineLevel="0" collapsed="false">
      <c r="A7" s="21" t="s">
        <v>180</v>
      </c>
      <c r="B7" s="21" t="n">
        <f aca="false">COUNTIF(Items!$B$2:$B$52,$A7)</f>
        <v>2</v>
      </c>
      <c r="C7" s="21" t="n">
        <f aca="false">COUNTIFS(Items!$B$2:$B$52,$A7,Items!$A$2:$A$52,"Yes")</f>
        <v>0</v>
      </c>
      <c r="D7" s="22" t="n">
        <f aca="false">SUMIFS(Items!$G$2:$G$52,Items!$B$2:$B$52,$A7)</f>
        <v>0</v>
      </c>
      <c r="E7" s="22" t="n">
        <f aca="false">SUMIFS(Items!$G$2:$G$52,Items!$B$2:$B$52,$A7,Items!$A$2:$A$52,"Yes")</f>
        <v>0</v>
      </c>
    </row>
    <row r="8" customFormat="false" ht="15" hidden="false" customHeight="false" outlineLevel="0" collapsed="false">
      <c r="A8" s="21" t="s">
        <v>187</v>
      </c>
      <c r="B8" s="21" t="n">
        <f aca="false">COUNTIF(Items!$B$2:$B$52,$A8)</f>
        <v>4</v>
      </c>
      <c r="C8" s="21" t="n">
        <f aca="false">COUNTIFS(Items!$B$2:$B$52,$A8,Items!$A$2:$A$52,"Yes")</f>
        <v>0</v>
      </c>
      <c r="D8" s="22" t="n">
        <f aca="false">SUMIFS(Items!$G$2:$G$52,Items!$B$2:$B$52,$A8)</f>
        <v>0</v>
      </c>
      <c r="E8" s="22" t="n">
        <f aca="false">SUMIFS(Items!$G$2:$G$52,Items!$B$2:$B$52,$A8,Items!$A$2:$A$52,"Yes")</f>
        <v>0</v>
      </c>
    </row>
    <row r="9" customFormat="false" ht="15" hidden="false" customHeight="false" outlineLevel="0" collapsed="false">
      <c r="A9" s="23" t="s">
        <v>209</v>
      </c>
      <c r="B9" s="24" t="n">
        <f aca="false">SUM(B2:B8)</f>
        <v>51</v>
      </c>
      <c r="C9" s="24" t="n">
        <f aca="false">SUM(C2:C8)</f>
        <v>0</v>
      </c>
      <c r="D9" s="25" t="n">
        <f aca="false">SUM(D2:D8)</f>
        <v>0</v>
      </c>
      <c r="E9" s="25" t="n">
        <f aca="false">SUM(E2:E8)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2026-09-10T22:46:43Z</dcterms:created>
  <dc:creator>openpyxl</dc:creator>
  <dc:description/>
  <dc:language>en-US</dc:language>
  <cp:lastModifiedBy/>
  <dcterms:modified xsi:type="dcterms:W3CDTF">2026-09-10T22:46:43Z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